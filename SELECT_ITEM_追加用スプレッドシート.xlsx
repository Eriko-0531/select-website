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商品マスタ" sheetId="2" state="visible" r:id="rId2"/>
    <sheet xmlns:r="http://schemas.openxmlformats.org/officeDocument/2006/relationships" name="カラー展開" sheetId="3" state="visible" r:id="rId3"/>
    <sheet xmlns:r="http://schemas.openxmlformats.org/officeDocument/2006/relationships" name="カタログリンク" sheetId="4" state="visible" r:id="rId4"/>
    <sheet xmlns:r="http://schemas.openxmlformats.org/officeDocument/2006/relationships" name="設定" sheetId="5" state="hidden"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Yu Gothic"/>
      <b val="1"/>
      <color rgb="004B504E"/>
      <sz val="10"/>
    </font>
    <font>
      <name val="Yu Gothic"/>
      <b val="1"/>
      <sz val="14"/>
    </font>
    <font>
      <name val="Yu Gothic"/>
      <b val="1"/>
      <color rgb="004B504E"/>
      <sz val="11"/>
    </font>
    <font>
      <name val="Yu Gothic"/>
      <sz val="10"/>
    </font>
    <font>
      <name val="Yu Gothic"/>
      <b val="1"/>
      <color rgb="00FFFFFF"/>
      <sz val="11"/>
    </font>
    <font>
      <name val="Yu Gothic"/>
      <b val="1"/>
      <color rgb="00375623"/>
      <sz val="10"/>
    </font>
    <font>
      <name val="Yu Gothic"/>
      <i val="1"/>
      <color rgb="00595959"/>
      <sz val="10"/>
    </font>
    <font>
      <name val="Yu Gothic"/>
      <color rgb="00808080"/>
      <sz val="9"/>
    </font>
  </fonts>
  <fills count="212">
    <fill>
      <patternFill/>
    </fill>
    <fill>
      <patternFill patternType="gray125"/>
    </fill>
    <fill>
      <patternFill patternType="solid">
        <fgColor rgb="004B504E"/>
      </patternFill>
    </fill>
    <fill>
      <patternFill patternType="solid">
        <fgColor rgb="00E2EFDA"/>
      </patternFill>
    </fill>
    <fill>
      <patternFill patternType="solid">
        <fgColor rgb="00F2F2F2"/>
      </patternFill>
    </fill>
    <fill>
      <patternFill patternType="solid">
        <fgColor rgb="00B6A99A"/>
      </patternFill>
    </fill>
    <fill>
      <patternFill patternType="solid">
        <fgColor rgb="00C4B7AF"/>
      </patternFill>
    </fill>
    <fill>
      <patternFill patternType="solid">
        <fgColor rgb="00C6B89E"/>
      </patternFill>
    </fill>
    <fill>
      <patternFill patternType="solid">
        <fgColor rgb="009F8377"/>
      </patternFill>
    </fill>
    <fill>
      <patternFill patternType="solid">
        <fgColor rgb="006E5955"/>
      </patternFill>
    </fill>
    <fill>
      <patternFill patternType="solid">
        <fgColor rgb="00AA8D7D"/>
      </patternFill>
    </fill>
    <fill>
      <patternFill patternType="solid">
        <fgColor rgb="008F7868"/>
      </patternFill>
    </fill>
    <fill>
      <patternFill patternType="solid">
        <fgColor rgb="00C4AE96"/>
      </patternFill>
    </fill>
    <fill>
      <patternFill patternType="solid">
        <fgColor rgb="008E7571"/>
      </patternFill>
    </fill>
    <fill>
      <patternFill patternType="solid">
        <fgColor rgb="0087827F"/>
      </patternFill>
    </fill>
    <fill>
      <patternFill patternType="solid">
        <fgColor rgb="006F696B"/>
      </patternFill>
    </fill>
    <fill>
      <patternFill patternType="solid">
        <fgColor rgb="00DAD6D3"/>
      </patternFill>
    </fill>
    <fill>
      <patternFill patternType="solid">
        <fgColor rgb="00ACA39C"/>
      </patternFill>
    </fill>
    <fill>
      <patternFill patternType="solid">
        <fgColor rgb="00C1B8AF"/>
      </patternFill>
    </fill>
    <fill>
      <patternFill patternType="solid">
        <fgColor rgb="006F6A67"/>
      </patternFill>
    </fill>
    <fill>
      <patternFill patternType="solid">
        <fgColor rgb="00E5D9CB"/>
      </patternFill>
    </fill>
    <fill>
      <patternFill patternType="solid">
        <fgColor rgb="00BDB086"/>
      </patternFill>
    </fill>
    <fill>
      <patternFill patternType="solid">
        <fgColor rgb="0090796B"/>
      </patternFill>
    </fill>
    <fill>
      <patternFill patternType="solid">
        <fgColor rgb="007E7A77"/>
      </patternFill>
    </fill>
    <fill>
      <patternFill patternType="solid">
        <fgColor rgb="00676360"/>
      </patternFill>
    </fill>
    <fill>
      <patternFill patternType="solid">
        <fgColor rgb="009A7D6D"/>
      </patternFill>
    </fill>
    <fill>
      <patternFill patternType="solid">
        <fgColor rgb="00C19A6F"/>
      </patternFill>
    </fill>
    <fill>
      <patternFill patternType="solid">
        <fgColor rgb="006C6054"/>
      </patternFill>
    </fill>
    <fill>
      <patternFill patternType="solid">
        <fgColor rgb="00A6A19E"/>
      </patternFill>
    </fill>
    <fill>
      <patternFill patternType="solid">
        <fgColor rgb="00D1CDC2"/>
      </patternFill>
    </fill>
    <fill>
      <patternFill patternType="solid">
        <fgColor rgb="007B7C76"/>
      </patternFill>
    </fill>
    <fill>
      <patternFill patternType="solid">
        <fgColor rgb="00E8C99A"/>
      </patternFill>
    </fill>
    <fill>
      <patternFill patternType="solid">
        <fgColor rgb="00B05936"/>
      </patternFill>
    </fill>
    <fill>
      <patternFill patternType="solid">
        <fgColor rgb="00AF8870"/>
      </patternFill>
    </fill>
    <fill>
      <patternFill patternType="solid">
        <fgColor rgb="00756361"/>
      </patternFill>
    </fill>
    <fill>
      <patternFill patternType="solid">
        <fgColor rgb="00C3A185"/>
      </patternFill>
    </fill>
    <fill>
      <patternFill patternType="solid">
        <fgColor rgb="00C28D6E"/>
      </patternFill>
    </fill>
    <fill>
      <patternFill patternType="solid">
        <fgColor rgb="00D8C5AD"/>
      </patternFill>
    </fill>
    <fill>
      <patternFill patternType="solid">
        <fgColor rgb="0093756A"/>
      </patternFill>
    </fill>
    <fill>
      <patternFill patternType="solid">
        <fgColor rgb="00D7A16D"/>
      </patternFill>
    </fill>
    <fill>
      <patternFill patternType="solid">
        <fgColor rgb="00EBA98F"/>
      </patternFill>
    </fill>
    <fill>
      <patternFill patternType="solid">
        <fgColor rgb="00D57E5B"/>
      </patternFill>
    </fill>
    <fill>
      <patternFill patternType="solid">
        <fgColor rgb="00C69E81"/>
      </patternFill>
    </fill>
    <fill>
      <patternFill patternType="solid">
        <fgColor rgb="00BE7E5B"/>
      </patternFill>
    </fill>
    <fill>
      <patternFill patternType="solid">
        <fgColor rgb="00DB8A5E"/>
      </patternFill>
    </fill>
    <fill>
      <patternFill patternType="solid">
        <fgColor rgb="00E7CFB5"/>
      </patternFill>
    </fill>
    <fill>
      <patternFill patternType="solid">
        <fgColor rgb="00886B5A"/>
      </patternFill>
    </fill>
    <fill>
      <patternFill patternType="solid">
        <fgColor rgb="00AE7B56"/>
      </patternFill>
    </fill>
    <fill>
      <patternFill patternType="solid">
        <fgColor rgb="00756F6F"/>
      </patternFill>
    </fill>
    <fill>
      <patternFill patternType="solid">
        <fgColor rgb="00F0DFCF"/>
      </patternFill>
    </fill>
    <fill>
      <patternFill patternType="solid">
        <fgColor rgb="00D7C4A9"/>
      </patternFill>
    </fill>
    <fill>
      <patternFill patternType="solid">
        <fgColor rgb="0092775C"/>
      </patternFill>
    </fill>
    <fill>
      <patternFill patternType="solid">
        <fgColor rgb="007E5750"/>
      </patternFill>
    </fill>
    <fill>
      <patternFill patternType="solid">
        <fgColor rgb="00443C39"/>
      </patternFill>
    </fill>
    <fill>
      <patternFill patternType="solid">
        <fgColor rgb="003C3E3F"/>
      </patternFill>
    </fill>
    <fill>
      <patternFill patternType="solid">
        <fgColor rgb="009A9D9C"/>
      </patternFill>
    </fill>
    <fill>
      <patternFill patternType="solid">
        <fgColor rgb="00DFDCDF"/>
      </patternFill>
    </fill>
    <fill>
      <patternFill patternType="solid">
        <fgColor rgb="00DDCDC0"/>
      </patternFill>
    </fill>
    <fill>
      <patternFill patternType="solid">
        <fgColor rgb="00CBBDBD"/>
      </patternFill>
    </fill>
    <fill>
      <patternFill patternType="solid">
        <fgColor rgb="00B3A5A3"/>
      </patternFill>
    </fill>
    <fill>
      <patternFill patternType="solid">
        <fgColor rgb="00AD8B86"/>
      </patternFill>
    </fill>
    <fill>
      <patternFill patternType="solid">
        <fgColor rgb="00E1E3EA"/>
      </patternFill>
    </fill>
    <fill>
      <patternFill patternType="solid">
        <fgColor rgb="00E5D0C1"/>
      </patternFill>
    </fill>
    <fill>
      <patternFill patternType="solid">
        <fgColor rgb="0099533A"/>
      </patternFill>
    </fill>
    <fill>
      <patternFill patternType="solid">
        <fgColor rgb="00A06E53"/>
      </patternFill>
    </fill>
    <fill>
      <patternFill patternType="solid">
        <fgColor rgb="00946451"/>
      </patternFill>
    </fill>
    <fill>
      <patternFill patternType="solid">
        <fgColor rgb="00E0AB7F"/>
      </patternFill>
    </fill>
    <fill>
      <patternFill patternType="solid">
        <fgColor rgb="006D6966"/>
      </patternFill>
    </fill>
    <fill>
      <patternFill patternType="solid">
        <fgColor rgb="00C8A781"/>
      </patternFill>
    </fill>
    <fill>
      <patternFill patternType="solid">
        <fgColor rgb="009CAAA9"/>
      </patternFill>
    </fill>
    <fill>
      <patternFill patternType="solid">
        <fgColor rgb="00C7BDB8"/>
      </patternFill>
    </fill>
    <fill>
      <patternFill patternType="solid">
        <fgColor rgb="00AEA29E"/>
      </patternFill>
    </fill>
    <fill>
      <patternFill patternType="solid">
        <fgColor rgb="00BFB7B7"/>
      </patternFill>
    </fill>
    <fill>
      <patternFill patternType="solid">
        <fgColor rgb="009D917F"/>
      </patternFill>
    </fill>
    <fill>
      <patternFill patternType="solid">
        <fgColor rgb="00CFB0A7"/>
      </patternFill>
    </fill>
    <fill>
      <patternFill patternType="solid">
        <fgColor rgb="00838C93"/>
      </patternFill>
    </fill>
    <fill>
      <patternFill patternType="solid">
        <fgColor rgb="00E7D0B4"/>
      </patternFill>
    </fill>
    <fill>
      <patternFill patternType="solid">
        <fgColor rgb="00DDDDDD"/>
      </patternFill>
    </fill>
    <fill>
      <patternFill patternType="solid">
        <fgColor rgb="00696969"/>
      </patternFill>
    </fill>
    <fill>
      <patternFill patternType="solid">
        <fgColor rgb="00D8C79B"/>
      </patternFill>
    </fill>
    <fill>
      <patternFill patternType="solid">
        <fgColor rgb="00D6B2A6"/>
      </patternFill>
    </fill>
    <fill>
      <patternFill patternType="solid">
        <fgColor rgb="00D7DDDF"/>
      </patternFill>
    </fill>
    <fill>
      <patternFill patternType="solid">
        <fgColor rgb="00D3CDAB"/>
      </patternFill>
    </fill>
    <fill>
      <patternFill patternType="solid">
        <fgColor rgb="00D3D5D4"/>
      </patternFill>
    </fill>
    <fill>
      <patternFill patternType="solid">
        <fgColor rgb="00D6CBB5"/>
      </patternFill>
    </fill>
    <fill>
      <patternFill patternType="solid">
        <fgColor rgb="00BB987A"/>
      </patternFill>
    </fill>
    <fill>
      <patternFill patternType="solid">
        <fgColor rgb="00AD7859"/>
      </patternFill>
    </fill>
    <fill>
      <patternFill patternType="solid">
        <fgColor rgb="00ECE1CF"/>
      </patternFill>
    </fill>
    <fill>
      <patternFill patternType="solid">
        <fgColor rgb="00DDC499"/>
      </patternFill>
    </fill>
    <fill>
      <patternFill patternType="solid">
        <fgColor rgb="00C1BAAD"/>
      </patternFill>
    </fill>
    <fill>
      <patternFill patternType="solid">
        <fgColor rgb="007B7E75"/>
      </patternFill>
    </fill>
    <fill>
      <patternFill patternType="solid">
        <fgColor rgb="005A564A"/>
      </patternFill>
    </fill>
    <fill>
      <patternFill patternType="solid">
        <fgColor rgb="00F3E6DD"/>
      </patternFill>
    </fill>
    <fill>
      <patternFill patternType="solid">
        <fgColor rgb="006A6760"/>
      </patternFill>
    </fill>
    <fill>
      <patternFill patternType="solid">
        <fgColor rgb="00B4AA9E"/>
      </patternFill>
    </fill>
    <fill>
      <patternFill patternType="solid">
        <fgColor rgb="00797067"/>
      </patternFill>
    </fill>
    <fill>
      <patternFill patternType="solid">
        <fgColor rgb="00746359"/>
      </patternFill>
    </fill>
    <fill>
      <patternFill patternType="solid">
        <fgColor rgb="00F9F6EF"/>
      </patternFill>
    </fill>
    <fill>
      <patternFill patternType="solid">
        <fgColor rgb="00E3E0D3"/>
      </patternFill>
    </fill>
    <fill>
      <patternFill patternType="solid">
        <fgColor rgb="00E8D7C7"/>
      </patternFill>
    </fill>
    <fill>
      <patternFill patternType="solid">
        <fgColor rgb="00B2A697"/>
      </patternFill>
    </fill>
    <fill>
      <patternFill patternType="solid">
        <fgColor rgb="008F8677"/>
      </patternFill>
    </fill>
    <fill>
      <patternFill patternType="solid">
        <fgColor rgb="006C6F6E"/>
      </patternFill>
    </fill>
    <fill>
      <patternFill patternType="solid">
        <fgColor rgb="0038393E"/>
      </patternFill>
    </fill>
    <fill>
      <patternFill patternType="solid">
        <fgColor rgb="00EADDD0"/>
      </patternFill>
    </fill>
    <fill>
      <patternFill patternType="solid">
        <fgColor rgb="00E0CFB1"/>
      </patternFill>
    </fill>
    <fill>
      <patternFill patternType="solid">
        <fgColor rgb="00C3BFB8"/>
      </patternFill>
    </fill>
    <fill>
      <patternFill patternType="solid">
        <fgColor rgb="00A0A09C"/>
      </patternFill>
    </fill>
    <fill>
      <patternFill patternType="solid">
        <fgColor rgb="006B6A64"/>
      </patternFill>
    </fill>
    <fill>
      <patternFill patternType="solid">
        <fgColor rgb="00DBD5C0"/>
      </patternFill>
    </fill>
    <fill>
      <patternFill patternType="solid">
        <fgColor rgb="00757E5E"/>
      </patternFill>
    </fill>
    <fill>
      <patternFill patternType="solid">
        <fgColor rgb="00D3C2A5"/>
      </patternFill>
    </fill>
    <fill>
      <patternFill patternType="solid">
        <fgColor rgb="00466EAC"/>
      </patternFill>
    </fill>
    <fill>
      <patternFill patternType="solid">
        <fgColor rgb="00BF8A64"/>
      </patternFill>
    </fill>
    <fill>
      <patternFill patternType="solid">
        <fgColor rgb="004B7377"/>
      </patternFill>
    </fill>
    <fill>
      <patternFill patternType="solid">
        <fgColor rgb="00685142"/>
      </patternFill>
    </fill>
    <fill>
      <patternFill patternType="solid">
        <fgColor rgb="003C4661"/>
      </patternFill>
    </fill>
    <fill>
      <patternFill patternType="solid">
        <fgColor rgb="00DAD6CA"/>
      </patternFill>
    </fill>
    <fill>
      <patternFill patternType="solid">
        <fgColor rgb="00E2DED1"/>
      </patternFill>
    </fill>
    <fill>
      <patternFill patternType="solid">
        <fgColor rgb="00AE8E64"/>
      </patternFill>
    </fill>
    <fill>
      <patternFill patternType="solid">
        <fgColor rgb="00C5956C"/>
      </patternFill>
    </fill>
    <fill>
      <patternFill patternType="solid">
        <fgColor rgb="00D2885D"/>
      </patternFill>
    </fill>
    <fill>
      <patternFill patternType="solid">
        <fgColor rgb="00BE7072"/>
      </patternFill>
    </fill>
    <fill>
      <patternFill patternType="solid">
        <fgColor rgb="00AF856E"/>
      </patternFill>
    </fill>
    <fill>
      <patternFill patternType="solid">
        <fgColor rgb="00804243"/>
      </patternFill>
    </fill>
    <fill>
      <patternFill patternType="solid">
        <fgColor rgb="00625756"/>
      </patternFill>
    </fill>
    <fill>
      <patternFill patternType="solid">
        <fgColor rgb="00303032"/>
      </patternFill>
    </fill>
    <fill>
      <patternFill patternType="solid">
        <fgColor rgb="00F7F8F2"/>
      </patternFill>
    </fill>
    <fill>
      <patternFill patternType="solid">
        <fgColor rgb="00F9F5EC"/>
      </patternFill>
    </fill>
    <fill>
      <patternFill patternType="solid">
        <fgColor rgb="00F3EAE3"/>
      </patternFill>
    </fill>
    <fill>
      <patternFill patternType="solid">
        <fgColor rgb="00F4ECE1"/>
      </patternFill>
    </fill>
    <fill>
      <patternFill patternType="solid">
        <fgColor rgb="00CCCDC8"/>
      </patternFill>
    </fill>
    <fill>
      <patternFill patternType="solid">
        <fgColor rgb="00828282"/>
      </patternFill>
    </fill>
    <fill>
      <patternFill patternType="solid">
        <fgColor rgb="005C5C5C"/>
      </patternFill>
    </fill>
    <fill>
      <patternFill patternType="solid">
        <fgColor rgb="002A292F"/>
      </patternFill>
    </fill>
    <fill>
      <patternFill patternType="solid">
        <fgColor rgb="005E4234"/>
      </patternFill>
    </fill>
    <fill>
      <patternFill patternType="solid">
        <fgColor rgb="0043352C"/>
      </patternFill>
    </fill>
    <fill>
      <patternFill patternType="solid">
        <fgColor rgb="00B4AFB5"/>
      </patternFill>
    </fill>
    <fill>
      <patternFill patternType="solid">
        <fgColor rgb="00A8ABB0"/>
      </patternFill>
    </fill>
    <fill>
      <patternFill patternType="solid">
        <fgColor rgb="00584A45"/>
      </patternFill>
    </fill>
    <fill>
      <patternFill patternType="solid">
        <fgColor rgb="00050100"/>
      </patternFill>
    </fill>
    <fill>
      <patternFill patternType="solid">
        <fgColor rgb="0047221F"/>
      </patternFill>
    </fill>
    <fill>
      <patternFill patternType="solid">
        <fgColor rgb="000F0F10"/>
      </patternFill>
    </fill>
    <fill>
      <patternFill patternType="solid">
        <fgColor rgb="0044484A"/>
      </patternFill>
    </fill>
    <fill>
      <patternFill patternType="solid">
        <fgColor rgb="00B4B1A6"/>
      </patternFill>
    </fill>
    <fill>
      <patternFill patternType="solid">
        <fgColor rgb="007D8D8D"/>
      </patternFill>
    </fill>
    <fill>
      <patternFill patternType="solid">
        <fgColor rgb="004A4D56"/>
      </patternFill>
    </fill>
    <fill>
      <patternFill patternType="solid">
        <fgColor rgb="008D192C"/>
      </patternFill>
    </fill>
    <fill>
      <patternFill patternType="solid">
        <fgColor rgb="00E6E6E6"/>
      </patternFill>
    </fill>
    <fill>
      <patternFill patternType="solid">
        <fgColor rgb="00D1D0D5"/>
      </patternFill>
    </fill>
    <fill>
      <patternFill patternType="solid">
        <fgColor rgb="00244E32"/>
      </patternFill>
    </fill>
    <fill>
      <patternFill patternType="solid">
        <fgColor rgb="00402E27"/>
      </patternFill>
    </fill>
    <fill>
      <patternFill patternType="solid">
        <fgColor rgb="00DCB08D"/>
      </patternFill>
    </fill>
    <fill>
      <patternFill patternType="solid">
        <fgColor rgb="00F6F0DE"/>
      </patternFill>
    </fill>
    <fill>
      <patternFill patternType="solid">
        <fgColor rgb="00A1836D"/>
      </patternFill>
    </fill>
    <fill>
      <patternFill patternType="solid">
        <fgColor rgb="00F5F5F5"/>
      </patternFill>
    </fill>
    <fill>
      <patternFill patternType="solid">
        <fgColor rgb="00D6D3D2"/>
      </patternFill>
    </fill>
    <fill>
      <patternFill patternType="solid">
        <fgColor rgb="00EFF0F2"/>
      </patternFill>
    </fill>
    <fill>
      <patternFill patternType="solid">
        <fgColor rgb="00C31C21"/>
      </patternFill>
    </fill>
    <fill>
      <patternFill patternType="solid">
        <fgColor rgb="00111112"/>
      </patternFill>
    </fill>
    <fill>
      <patternFill patternType="solid">
        <fgColor rgb="00233E34"/>
      </patternFill>
    </fill>
    <fill>
      <patternFill patternType="solid">
        <fgColor rgb="00A8A18F"/>
      </patternFill>
    </fill>
    <fill>
      <patternFill patternType="solid">
        <fgColor rgb="0089989D"/>
      </patternFill>
    </fill>
    <fill>
      <patternFill patternType="solid">
        <fgColor rgb="00404955"/>
      </patternFill>
    </fill>
    <fill>
      <patternFill patternType="solid">
        <fgColor rgb="0004090C"/>
      </patternFill>
    </fill>
    <fill>
      <patternFill patternType="solid">
        <fgColor rgb="001A3C6A"/>
      </patternFill>
    </fill>
    <fill>
      <patternFill patternType="solid">
        <fgColor rgb="00263E30"/>
      </patternFill>
    </fill>
    <fill>
      <patternFill patternType="solid">
        <fgColor rgb="00C82525"/>
      </patternFill>
    </fill>
    <fill>
      <patternFill patternType="solid">
        <fgColor rgb="008B233B"/>
      </patternFill>
    </fill>
    <fill>
      <patternFill patternType="solid">
        <fgColor rgb="003C1D17"/>
      </patternFill>
    </fill>
    <fill>
      <patternFill patternType="solid">
        <fgColor rgb="00A0C8BB"/>
      </patternFill>
    </fill>
    <fill>
      <patternFill patternType="solid">
        <fgColor rgb="00F4BC1C"/>
      </patternFill>
    </fill>
    <fill>
      <patternFill patternType="solid">
        <fgColor rgb="00DED6BE"/>
      </patternFill>
    </fill>
    <fill>
      <patternFill patternType="solid">
        <fgColor rgb="00979580"/>
      </patternFill>
    </fill>
    <fill>
      <patternFill patternType="solid">
        <fgColor rgb="0061666A"/>
      </patternFill>
    </fill>
    <fill>
      <patternFill patternType="solid">
        <fgColor rgb="00878380"/>
      </patternFill>
    </fill>
    <fill>
      <patternFill patternType="solid">
        <fgColor rgb="00382C2A"/>
      </patternFill>
    </fill>
    <fill>
      <patternFill patternType="solid">
        <fgColor rgb="00BBB2A0"/>
      </patternFill>
    </fill>
    <fill>
      <patternFill patternType="solid">
        <fgColor rgb="0082715D"/>
      </patternFill>
    </fill>
    <fill>
      <patternFill patternType="solid">
        <fgColor rgb="0064615C"/>
      </patternFill>
    </fill>
    <fill>
      <patternFill patternType="solid">
        <fgColor rgb="00D1BCA4"/>
      </patternFill>
    </fill>
    <fill>
      <patternFill patternType="solid">
        <fgColor rgb="00946B47"/>
      </patternFill>
    </fill>
    <fill>
      <patternFill patternType="solid">
        <fgColor rgb="00653322"/>
      </patternFill>
    </fill>
    <fill>
      <patternFill patternType="solid">
        <fgColor rgb="00644E48"/>
      </patternFill>
    </fill>
    <fill>
      <patternFill patternType="solid">
        <fgColor rgb="00A57E6C"/>
      </patternFill>
    </fill>
    <fill>
      <patternFill patternType="solid">
        <fgColor rgb="00CABDB7"/>
      </patternFill>
    </fill>
    <fill>
      <patternFill patternType="solid">
        <fgColor rgb="00867E67"/>
      </patternFill>
    </fill>
    <fill>
      <patternFill patternType="solid">
        <fgColor rgb="00636C71"/>
      </patternFill>
    </fill>
    <fill>
      <patternFill patternType="solid">
        <fgColor rgb="007F816B"/>
      </patternFill>
    </fill>
    <fill>
      <patternFill patternType="solid">
        <fgColor rgb="00A0AAB4"/>
      </patternFill>
    </fill>
    <fill>
      <patternFill patternType="solid">
        <fgColor rgb="00EDE8E4"/>
      </patternFill>
    </fill>
    <fill>
      <patternFill patternType="solid">
        <fgColor rgb="00B29895"/>
      </patternFill>
    </fill>
    <fill>
      <patternFill patternType="solid">
        <fgColor rgb="00D8C7BD"/>
      </patternFill>
    </fill>
    <fill>
      <patternFill patternType="solid">
        <fgColor rgb="00E1DFD9"/>
      </patternFill>
    </fill>
    <fill>
      <patternFill patternType="solid">
        <fgColor rgb="009E8775"/>
      </patternFill>
    </fill>
    <fill>
      <patternFill patternType="solid">
        <fgColor rgb="00F6F9F7"/>
      </patternFill>
    </fill>
    <fill>
      <patternFill patternType="solid">
        <fgColor rgb="00F7E7C0"/>
      </patternFill>
    </fill>
    <fill>
      <patternFill patternType="solid">
        <fgColor rgb="009B5C45"/>
      </patternFill>
    </fill>
    <fill>
      <patternFill patternType="solid">
        <fgColor rgb="00D08C54"/>
      </patternFill>
    </fill>
    <fill>
      <patternFill patternType="solid">
        <fgColor rgb="003D373E"/>
      </patternFill>
    </fill>
    <fill>
      <patternFill patternType="solid">
        <fgColor rgb="009F98A8"/>
      </patternFill>
    </fill>
    <fill>
      <patternFill patternType="solid">
        <fgColor rgb="00968D6E"/>
      </patternFill>
    </fill>
    <fill>
      <patternFill patternType="solid">
        <fgColor rgb="003C2923"/>
      </patternFill>
    </fill>
    <fill>
      <patternFill patternType="solid">
        <fgColor rgb="00A21C2A"/>
      </patternFill>
    </fill>
    <fill>
      <patternFill patternType="solid">
        <fgColor rgb="00DDDADA"/>
      </patternFill>
    </fill>
    <fill>
      <patternFill patternType="solid">
        <fgColor rgb="00212151"/>
      </patternFill>
    </fill>
    <fill>
      <patternFill patternType="solid">
        <fgColor rgb="0096D2D8"/>
      </patternFill>
    </fill>
    <fill>
      <patternFill patternType="solid">
        <fgColor rgb="00DD2E2E"/>
      </patternFill>
    </fill>
    <fill>
      <patternFill patternType="solid">
        <fgColor rgb="00F5A343"/>
      </patternFill>
    </fill>
    <fill>
      <patternFill patternType="solid">
        <fgColor rgb="00F6E37C"/>
      </patternFill>
    </fill>
    <fill>
      <patternFill patternType="solid">
        <fgColor rgb="0076782F"/>
      </patternFill>
    </fill>
    <fill>
      <patternFill patternType="solid">
        <fgColor rgb="00E3D3B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7" fillId="4" borderId="1" applyAlignment="1" pivotButton="0" quotePrefix="0" xfId="0">
      <alignment vertical="top" wrapText="1"/>
    </xf>
    <xf numFmtId="0" fontId="4" fillId="0" borderId="1" applyAlignment="1" pivotButton="0" quotePrefix="0" xfId="0">
      <alignment vertical="top" wrapText="1"/>
    </xf>
    <xf numFmtId="0" fontId="6" fillId="3" borderId="0" applyAlignment="1" pivotButton="0" quotePrefix="0" xfId="0">
      <alignment horizontal="center" vertical="center"/>
    </xf>
    <xf numFmtId="0" fontId="4" fillId="5" borderId="1" applyAlignment="1" pivotButton="0" quotePrefix="0" xfId="0">
      <alignment vertical="top" wrapText="1"/>
    </xf>
    <xf numFmtId="0" fontId="4" fillId="6" borderId="1" applyAlignment="1" pivotButton="0" quotePrefix="0" xfId="0">
      <alignment vertical="top" wrapText="1"/>
    </xf>
    <xf numFmtId="0" fontId="4" fillId="2"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4" fillId="17" borderId="1" applyAlignment="1" pivotButton="0" quotePrefix="0" xfId="0">
      <alignment vertical="top" wrapText="1"/>
    </xf>
    <xf numFmtId="0" fontId="4" fillId="18" borderId="1" applyAlignment="1" pivotButton="0" quotePrefix="0" xfId="0">
      <alignment vertical="top" wrapText="1"/>
    </xf>
    <xf numFmtId="0" fontId="4" fillId="19" borderId="1" applyAlignment="1" pivotButton="0" quotePrefix="0" xfId="0">
      <alignment vertical="top" wrapText="1"/>
    </xf>
    <xf numFmtId="0" fontId="4" fillId="20" borderId="1" applyAlignment="1" pivotButton="0" quotePrefix="0" xfId="0">
      <alignment vertical="top" wrapText="1"/>
    </xf>
    <xf numFmtId="0" fontId="4" fillId="21" borderId="1" applyAlignment="1" pivotButton="0" quotePrefix="0" xfId="0">
      <alignment vertical="top" wrapText="1"/>
    </xf>
    <xf numFmtId="0" fontId="4" fillId="22" borderId="1" applyAlignment="1" pivotButton="0" quotePrefix="0" xfId="0">
      <alignment vertical="top" wrapText="1"/>
    </xf>
    <xf numFmtId="0" fontId="4" fillId="23" borderId="1" applyAlignment="1" pivotButton="0" quotePrefix="0" xfId="0">
      <alignment vertical="top" wrapText="1"/>
    </xf>
    <xf numFmtId="0" fontId="4" fillId="24" borderId="1" applyAlignment="1" pivotButton="0" quotePrefix="0" xfId="0">
      <alignment vertical="top" wrapText="1"/>
    </xf>
    <xf numFmtId="0" fontId="4" fillId="25" borderId="1" applyAlignment="1" pivotButton="0" quotePrefix="0" xfId="0">
      <alignment vertical="top" wrapText="1"/>
    </xf>
    <xf numFmtId="0" fontId="4" fillId="26" borderId="1" applyAlignment="1" pivotButton="0" quotePrefix="0" xfId="0">
      <alignment vertical="top" wrapText="1"/>
    </xf>
    <xf numFmtId="0" fontId="4" fillId="27" borderId="1" applyAlignment="1" pivotButton="0" quotePrefix="0" xfId="0">
      <alignment vertical="top" wrapText="1"/>
    </xf>
    <xf numFmtId="0" fontId="4" fillId="28" borderId="1" applyAlignment="1" pivotButton="0" quotePrefix="0" xfId="0">
      <alignment vertical="top" wrapText="1"/>
    </xf>
    <xf numFmtId="0" fontId="4" fillId="29" borderId="1" applyAlignment="1" pivotButton="0" quotePrefix="0" xfId="0">
      <alignment vertical="top" wrapText="1"/>
    </xf>
    <xf numFmtId="0" fontId="4" fillId="30" borderId="1" applyAlignment="1" pivotButton="0" quotePrefix="0" xfId="0">
      <alignment vertical="top" wrapText="1"/>
    </xf>
    <xf numFmtId="0" fontId="4" fillId="31" borderId="1" applyAlignment="1" pivotButton="0" quotePrefix="0" xfId="0">
      <alignment vertical="top" wrapText="1"/>
    </xf>
    <xf numFmtId="0" fontId="4" fillId="32" borderId="1" applyAlignment="1" pivotButton="0" quotePrefix="0" xfId="0">
      <alignment vertical="top" wrapText="1"/>
    </xf>
    <xf numFmtId="0" fontId="4" fillId="33" borderId="1" applyAlignment="1" pivotButton="0" quotePrefix="0" xfId="0">
      <alignment vertical="top" wrapText="1"/>
    </xf>
    <xf numFmtId="0" fontId="4" fillId="34" borderId="1" applyAlignment="1" pivotButton="0" quotePrefix="0" xfId="0">
      <alignment vertical="top" wrapText="1"/>
    </xf>
    <xf numFmtId="0" fontId="4" fillId="35" borderId="1" applyAlignment="1" pivotButton="0" quotePrefix="0" xfId="0">
      <alignment vertical="top" wrapText="1"/>
    </xf>
    <xf numFmtId="0" fontId="4" fillId="36" borderId="1" applyAlignment="1" pivotButton="0" quotePrefix="0" xfId="0">
      <alignment vertical="top" wrapText="1"/>
    </xf>
    <xf numFmtId="0" fontId="4" fillId="37" borderId="1" applyAlignment="1" pivotButton="0" quotePrefix="0" xfId="0">
      <alignment vertical="top" wrapText="1"/>
    </xf>
    <xf numFmtId="0" fontId="4" fillId="38" borderId="1" applyAlignment="1" pivotButton="0" quotePrefix="0" xfId="0">
      <alignment vertical="top" wrapText="1"/>
    </xf>
    <xf numFmtId="0" fontId="4" fillId="39" borderId="1" applyAlignment="1" pivotButton="0" quotePrefix="0" xfId="0">
      <alignment vertical="top" wrapText="1"/>
    </xf>
    <xf numFmtId="0" fontId="4" fillId="40" borderId="1" applyAlignment="1" pivotButton="0" quotePrefix="0" xfId="0">
      <alignment vertical="top" wrapText="1"/>
    </xf>
    <xf numFmtId="0" fontId="4" fillId="41" borderId="1" applyAlignment="1" pivotButton="0" quotePrefix="0" xfId="0">
      <alignment vertical="top" wrapText="1"/>
    </xf>
    <xf numFmtId="0" fontId="4" fillId="42" borderId="1" applyAlignment="1" pivotButton="0" quotePrefix="0" xfId="0">
      <alignment vertical="top" wrapText="1"/>
    </xf>
    <xf numFmtId="0" fontId="4" fillId="43" borderId="1" applyAlignment="1" pivotButton="0" quotePrefix="0" xfId="0">
      <alignment vertical="top" wrapText="1"/>
    </xf>
    <xf numFmtId="0" fontId="4" fillId="44" borderId="1" applyAlignment="1" pivotButton="0" quotePrefix="0" xfId="0">
      <alignment vertical="top" wrapText="1"/>
    </xf>
    <xf numFmtId="0" fontId="4" fillId="45" borderId="1" applyAlignment="1" pivotButton="0" quotePrefix="0" xfId="0">
      <alignment vertical="top" wrapText="1"/>
    </xf>
    <xf numFmtId="0" fontId="4" fillId="46" borderId="1" applyAlignment="1" pivotButton="0" quotePrefix="0" xfId="0">
      <alignment vertical="top" wrapText="1"/>
    </xf>
    <xf numFmtId="0" fontId="4" fillId="47" borderId="1" applyAlignment="1" pivotButton="0" quotePrefix="0" xfId="0">
      <alignment vertical="top" wrapText="1"/>
    </xf>
    <xf numFmtId="0" fontId="4" fillId="48" borderId="1" applyAlignment="1" pivotButton="0" quotePrefix="0" xfId="0">
      <alignment vertical="top" wrapText="1"/>
    </xf>
    <xf numFmtId="0" fontId="4" fillId="49" borderId="1" applyAlignment="1" pivotButton="0" quotePrefix="0" xfId="0">
      <alignment vertical="top" wrapText="1"/>
    </xf>
    <xf numFmtId="0" fontId="4" fillId="50" borderId="1" applyAlignment="1" pivotButton="0" quotePrefix="0" xfId="0">
      <alignment vertical="top" wrapText="1"/>
    </xf>
    <xf numFmtId="0" fontId="4" fillId="51" borderId="1" applyAlignment="1" pivotButton="0" quotePrefix="0" xfId="0">
      <alignment vertical="top" wrapText="1"/>
    </xf>
    <xf numFmtId="0" fontId="4" fillId="52" borderId="1" applyAlignment="1" pivotButton="0" quotePrefix="0" xfId="0">
      <alignment vertical="top" wrapText="1"/>
    </xf>
    <xf numFmtId="0" fontId="4" fillId="53" borderId="1" applyAlignment="1" pivotButton="0" quotePrefix="0" xfId="0">
      <alignment vertical="top" wrapText="1"/>
    </xf>
    <xf numFmtId="0" fontId="4" fillId="54" borderId="1" applyAlignment="1" pivotButton="0" quotePrefix="0" xfId="0">
      <alignment vertical="top" wrapText="1"/>
    </xf>
    <xf numFmtId="0" fontId="4" fillId="55" borderId="1" applyAlignment="1" pivotButton="0" quotePrefix="0" xfId="0">
      <alignment vertical="top" wrapText="1"/>
    </xf>
    <xf numFmtId="0" fontId="4" fillId="56" borderId="1" applyAlignment="1" pivotButton="0" quotePrefix="0" xfId="0">
      <alignment vertical="top" wrapText="1"/>
    </xf>
    <xf numFmtId="0" fontId="4" fillId="57" borderId="1" applyAlignment="1" pivotButton="0" quotePrefix="0" xfId="0">
      <alignment vertical="top" wrapText="1"/>
    </xf>
    <xf numFmtId="0" fontId="4" fillId="58" borderId="1" applyAlignment="1" pivotButton="0" quotePrefix="0" xfId="0">
      <alignment vertical="top" wrapText="1"/>
    </xf>
    <xf numFmtId="0" fontId="4" fillId="59" borderId="1" applyAlignment="1" pivotButton="0" quotePrefix="0" xfId="0">
      <alignment vertical="top" wrapText="1"/>
    </xf>
    <xf numFmtId="0" fontId="4" fillId="60" borderId="1" applyAlignment="1" pivotButton="0" quotePrefix="0" xfId="0">
      <alignment vertical="top" wrapText="1"/>
    </xf>
    <xf numFmtId="0" fontId="4" fillId="61" borderId="1" applyAlignment="1" pivotButton="0" quotePrefix="0" xfId="0">
      <alignment vertical="top" wrapText="1"/>
    </xf>
    <xf numFmtId="0" fontId="4" fillId="62" borderId="1" applyAlignment="1" pivotButton="0" quotePrefix="0" xfId="0">
      <alignment vertical="top" wrapText="1"/>
    </xf>
    <xf numFmtId="0" fontId="4" fillId="63" borderId="1" applyAlignment="1" pivotButton="0" quotePrefix="0" xfId="0">
      <alignment vertical="top" wrapText="1"/>
    </xf>
    <xf numFmtId="0" fontId="4" fillId="64" borderId="1" applyAlignment="1" pivotButton="0" quotePrefix="0" xfId="0">
      <alignment vertical="top" wrapText="1"/>
    </xf>
    <xf numFmtId="0" fontId="4" fillId="65" borderId="1" applyAlignment="1" pivotButton="0" quotePrefix="0" xfId="0">
      <alignment vertical="top" wrapText="1"/>
    </xf>
    <xf numFmtId="0" fontId="4" fillId="66" borderId="1" applyAlignment="1" pivotButton="0" quotePrefix="0" xfId="0">
      <alignment vertical="top" wrapText="1"/>
    </xf>
    <xf numFmtId="0" fontId="4" fillId="67" borderId="1" applyAlignment="1" pivotButton="0" quotePrefix="0" xfId="0">
      <alignment vertical="top" wrapText="1"/>
    </xf>
    <xf numFmtId="0" fontId="4" fillId="68" borderId="1" applyAlignment="1" pivotButton="0" quotePrefix="0" xfId="0">
      <alignment vertical="top" wrapText="1"/>
    </xf>
    <xf numFmtId="0" fontId="4" fillId="69" borderId="1" applyAlignment="1" pivotButton="0" quotePrefix="0" xfId="0">
      <alignment vertical="top" wrapText="1"/>
    </xf>
    <xf numFmtId="0" fontId="4" fillId="70" borderId="1" applyAlignment="1" pivotButton="0" quotePrefix="0" xfId="0">
      <alignment vertical="top" wrapText="1"/>
    </xf>
    <xf numFmtId="0" fontId="4" fillId="71" borderId="1" applyAlignment="1" pivotButton="0" quotePrefix="0" xfId="0">
      <alignment vertical="top" wrapText="1"/>
    </xf>
    <xf numFmtId="0" fontId="4" fillId="72" borderId="1" applyAlignment="1" pivotButton="0" quotePrefix="0" xfId="0">
      <alignment vertical="top" wrapText="1"/>
    </xf>
    <xf numFmtId="0" fontId="4" fillId="73" borderId="1" applyAlignment="1" pivotButton="0" quotePrefix="0" xfId="0">
      <alignment vertical="top" wrapText="1"/>
    </xf>
    <xf numFmtId="0" fontId="4" fillId="74" borderId="1" applyAlignment="1" pivotButton="0" quotePrefix="0" xfId="0">
      <alignment vertical="top" wrapText="1"/>
    </xf>
    <xf numFmtId="0" fontId="4" fillId="75" borderId="1" applyAlignment="1" pivotButton="0" quotePrefix="0" xfId="0">
      <alignment vertical="top" wrapText="1"/>
    </xf>
    <xf numFmtId="0" fontId="4" fillId="76" borderId="1" applyAlignment="1" pivotButton="0" quotePrefix="0" xfId="0">
      <alignment vertical="top" wrapText="1"/>
    </xf>
    <xf numFmtId="0" fontId="4" fillId="77" borderId="1" applyAlignment="1" pivotButton="0" quotePrefix="0" xfId="0">
      <alignment vertical="top" wrapText="1"/>
    </xf>
    <xf numFmtId="0" fontId="4" fillId="78" borderId="1" applyAlignment="1" pivotButton="0" quotePrefix="0" xfId="0">
      <alignment vertical="top" wrapText="1"/>
    </xf>
    <xf numFmtId="0" fontId="4" fillId="79" borderId="1" applyAlignment="1" pivotButton="0" quotePrefix="0" xfId="0">
      <alignment vertical="top" wrapText="1"/>
    </xf>
    <xf numFmtId="0" fontId="4" fillId="80" borderId="1" applyAlignment="1" pivotButton="0" quotePrefix="0" xfId="0">
      <alignment vertical="top" wrapText="1"/>
    </xf>
    <xf numFmtId="0" fontId="4" fillId="81" borderId="1" applyAlignment="1" pivotButton="0" quotePrefix="0" xfId="0">
      <alignment vertical="top" wrapText="1"/>
    </xf>
    <xf numFmtId="0" fontId="4" fillId="82" borderId="1" applyAlignment="1" pivotButton="0" quotePrefix="0" xfId="0">
      <alignment vertical="top" wrapText="1"/>
    </xf>
    <xf numFmtId="0" fontId="4" fillId="83" borderId="1" applyAlignment="1" pivotButton="0" quotePrefix="0" xfId="0">
      <alignment vertical="top" wrapText="1"/>
    </xf>
    <xf numFmtId="0" fontId="4" fillId="84" borderId="1" applyAlignment="1" pivotButton="0" quotePrefix="0" xfId="0">
      <alignment vertical="top" wrapText="1"/>
    </xf>
    <xf numFmtId="0" fontId="4" fillId="85" borderId="1" applyAlignment="1" pivotButton="0" quotePrefix="0" xfId="0">
      <alignment vertical="top" wrapText="1"/>
    </xf>
    <xf numFmtId="0" fontId="4" fillId="86" borderId="1" applyAlignment="1" pivotButton="0" quotePrefix="0" xfId="0">
      <alignment vertical="top" wrapText="1"/>
    </xf>
    <xf numFmtId="0" fontId="4" fillId="87" borderId="1" applyAlignment="1" pivotButton="0" quotePrefix="0" xfId="0">
      <alignment vertical="top" wrapText="1"/>
    </xf>
    <xf numFmtId="0" fontId="4" fillId="88" borderId="1" applyAlignment="1" pivotButton="0" quotePrefix="0" xfId="0">
      <alignment vertical="top" wrapText="1"/>
    </xf>
    <xf numFmtId="0" fontId="4" fillId="89" borderId="1" applyAlignment="1" pivotButton="0" quotePrefix="0" xfId="0">
      <alignment vertical="top" wrapText="1"/>
    </xf>
    <xf numFmtId="0" fontId="4" fillId="90" borderId="1" applyAlignment="1" pivotButton="0" quotePrefix="0" xfId="0">
      <alignment vertical="top" wrapText="1"/>
    </xf>
    <xf numFmtId="0" fontId="4" fillId="91" borderId="1" applyAlignment="1" pivotButton="0" quotePrefix="0" xfId="0">
      <alignment vertical="top" wrapText="1"/>
    </xf>
    <xf numFmtId="0" fontId="4" fillId="92" borderId="1" applyAlignment="1" pivotButton="0" quotePrefix="0" xfId="0">
      <alignment vertical="top" wrapText="1"/>
    </xf>
    <xf numFmtId="0" fontId="4" fillId="93" borderId="1" applyAlignment="1" pivotButton="0" quotePrefix="0" xfId="0">
      <alignment vertical="top" wrapText="1"/>
    </xf>
    <xf numFmtId="0" fontId="4" fillId="94" borderId="1" applyAlignment="1" pivotButton="0" quotePrefix="0" xfId="0">
      <alignment vertical="top" wrapText="1"/>
    </xf>
    <xf numFmtId="0" fontId="4" fillId="95" borderId="1" applyAlignment="1" pivotButton="0" quotePrefix="0" xfId="0">
      <alignment vertical="top" wrapText="1"/>
    </xf>
    <xf numFmtId="0" fontId="4" fillId="96" borderId="1" applyAlignment="1" pivotButton="0" quotePrefix="0" xfId="0">
      <alignment vertical="top" wrapText="1"/>
    </xf>
    <xf numFmtId="0" fontId="4" fillId="97" borderId="1" applyAlignment="1" pivotButton="0" quotePrefix="0" xfId="0">
      <alignment vertical="top" wrapText="1"/>
    </xf>
    <xf numFmtId="0" fontId="4" fillId="98" borderId="1" applyAlignment="1" pivotButton="0" quotePrefix="0" xfId="0">
      <alignment vertical="top" wrapText="1"/>
    </xf>
    <xf numFmtId="0" fontId="4" fillId="99" borderId="1" applyAlignment="1" pivotButton="0" quotePrefix="0" xfId="0">
      <alignment vertical="top" wrapText="1"/>
    </xf>
    <xf numFmtId="0" fontId="4" fillId="100" borderId="1" applyAlignment="1" pivotButton="0" quotePrefix="0" xfId="0">
      <alignment vertical="top" wrapText="1"/>
    </xf>
    <xf numFmtId="0" fontId="4" fillId="101" borderId="1" applyAlignment="1" pivotButton="0" quotePrefix="0" xfId="0">
      <alignment vertical="top" wrapText="1"/>
    </xf>
    <xf numFmtId="0" fontId="4" fillId="102" borderId="1" applyAlignment="1" pivotButton="0" quotePrefix="0" xfId="0">
      <alignment vertical="top" wrapText="1"/>
    </xf>
    <xf numFmtId="0" fontId="4" fillId="103" borderId="1" applyAlignment="1" pivotButton="0" quotePrefix="0" xfId="0">
      <alignment vertical="top" wrapText="1"/>
    </xf>
    <xf numFmtId="0" fontId="4" fillId="104" borderId="1" applyAlignment="1" pivotButton="0" quotePrefix="0" xfId="0">
      <alignment vertical="top" wrapText="1"/>
    </xf>
    <xf numFmtId="0" fontId="4" fillId="105" borderId="1" applyAlignment="1" pivotButton="0" quotePrefix="0" xfId="0">
      <alignment vertical="top" wrapText="1"/>
    </xf>
    <xf numFmtId="0" fontId="4" fillId="106" borderId="1" applyAlignment="1" pivotButton="0" quotePrefix="0" xfId="0">
      <alignment vertical="top" wrapText="1"/>
    </xf>
    <xf numFmtId="0" fontId="4" fillId="107" borderId="1" applyAlignment="1" pivotButton="0" quotePrefix="0" xfId="0">
      <alignment vertical="top" wrapText="1"/>
    </xf>
    <xf numFmtId="0" fontId="4" fillId="108" borderId="1" applyAlignment="1" pivotButton="0" quotePrefix="0" xfId="0">
      <alignment vertical="top" wrapText="1"/>
    </xf>
    <xf numFmtId="0" fontId="4" fillId="109" borderId="1" applyAlignment="1" pivotButton="0" quotePrefix="0" xfId="0">
      <alignment vertical="top" wrapText="1"/>
    </xf>
    <xf numFmtId="0" fontId="4" fillId="110" borderId="1" applyAlignment="1" pivotButton="0" quotePrefix="0" xfId="0">
      <alignment vertical="top" wrapText="1"/>
    </xf>
    <xf numFmtId="0" fontId="4" fillId="111" borderId="1" applyAlignment="1" pivotButton="0" quotePrefix="0" xfId="0">
      <alignment vertical="top" wrapText="1"/>
    </xf>
    <xf numFmtId="0" fontId="4" fillId="112" borderId="1" applyAlignment="1" pivotButton="0" quotePrefix="0" xfId="0">
      <alignment vertical="top" wrapText="1"/>
    </xf>
    <xf numFmtId="0" fontId="4" fillId="113" borderId="1" applyAlignment="1" pivotButton="0" quotePrefix="0" xfId="0">
      <alignment vertical="top" wrapText="1"/>
    </xf>
    <xf numFmtId="0" fontId="4" fillId="114" borderId="1" applyAlignment="1" pivotButton="0" quotePrefix="0" xfId="0">
      <alignment vertical="top" wrapText="1"/>
    </xf>
    <xf numFmtId="0" fontId="4" fillId="115" borderId="1" applyAlignment="1" pivotButton="0" quotePrefix="0" xfId="0">
      <alignment vertical="top" wrapText="1"/>
    </xf>
    <xf numFmtId="0" fontId="4" fillId="116" borderId="1" applyAlignment="1" pivotButton="0" quotePrefix="0" xfId="0">
      <alignment vertical="top" wrapText="1"/>
    </xf>
    <xf numFmtId="0" fontId="4" fillId="117" borderId="1" applyAlignment="1" pivotButton="0" quotePrefix="0" xfId="0">
      <alignment vertical="top" wrapText="1"/>
    </xf>
    <xf numFmtId="0" fontId="4" fillId="118" borderId="1" applyAlignment="1" pivotButton="0" quotePrefix="0" xfId="0">
      <alignment vertical="top" wrapText="1"/>
    </xf>
    <xf numFmtId="0" fontId="4" fillId="119" borderId="1" applyAlignment="1" pivotButton="0" quotePrefix="0" xfId="0">
      <alignment vertical="top" wrapText="1"/>
    </xf>
    <xf numFmtId="0" fontId="4" fillId="120" borderId="1" applyAlignment="1" pivotButton="0" quotePrefix="0" xfId="0">
      <alignment vertical="top" wrapText="1"/>
    </xf>
    <xf numFmtId="0" fontId="4" fillId="121" borderId="1" applyAlignment="1" pivotButton="0" quotePrefix="0" xfId="0">
      <alignment vertical="top" wrapText="1"/>
    </xf>
    <xf numFmtId="0" fontId="4" fillId="122" borderId="1" applyAlignment="1" pivotButton="0" quotePrefix="0" xfId="0">
      <alignment vertical="top" wrapText="1"/>
    </xf>
    <xf numFmtId="0" fontId="4" fillId="123" borderId="1" applyAlignment="1" pivotButton="0" quotePrefix="0" xfId="0">
      <alignment vertical="top" wrapText="1"/>
    </xf>
    <xf numFmtId="0" fontId="4" fillId="124" borderId="1" applyAlignment="1" pivotButton="0" quotePrefix="0" xfId="0">
      <alignment vertical="top" wrapText="1"/>
    </xf>
    <xf numFmtId="0" fontId="4" fillId="125" borderId="1" applyAlignment="1" pivotButton="0" quotePrefix="0" xfId="0">
      <alignment vertical="top" wrapText="1"/>
    </xf>
    <xf numFmtId="0" fontId="4" fillId="126" borderId="1" applyAlignment="1" pivotButton="0" quotePrefix="0" xfId="0">
      <alignment vertical="top" wrapText="1"/>
    </xf>
    <xf numFmtId="0" fontId="4" fillId="127" borderId="1" applyAlignment="1" pivotButton="0" quotePrefix="0" xfId="0">
      <alignment vertical="top" wrapText="1"/>
    </xf>
    <xf numFmtId="0" fontId="4" fillId="128" borderId="1" applyAlignment="1" pivotButton="0" quotePrefix="0" xfId="0">
      <alignment vertical="top" wrapText="1"/>
    </xf>
    <xf numFmtId="0" fontId="4" fillId="129" borderId="1" applyAlignment="1" pivotButton="0" quotePrefix="0" xfId="0">
      <alignment vertical="top" wrapText="1"/>
    </xf>
    <xf numFmtId="0" fontId="4" fillId="130" borderId="1" applyAlignment="1" pivotButton="0" quotePrefix="0" xfId="0">
      <alignment vertical="top" wrapText="1"/>
    </xf>
    <xf numFmtId="0" fontId="4" fillId="131" borderId="1" applyAlignment="1" pivotButton="0" quotePrefix="0" xfId="0">
      <alignment vertical="top" wrapText="1"/>
    </xf>
    <xf numFmtId="0" fontId="4" fillId="132" borderId="1" applyAlignment="1" pivotButton="0" quotePrefix="0" xfId="0">
      <alignment vertical="top" wrapText="1"/>
    </xf>
    <xf numFmtId="0" fontId="4" fillId="133" borderId="1" applyAlignment="1" pivotButton="0" quotePrefix="0" xfId="0">
      <alignment vertical="top" wrapText="1"/>
    </xf>
    <xf numFmtId="0" fontId="4" fillId="134" borderId="1" applyAlignment="1" pivotButton="0" quotePrefix="0" xfId="0">
      <alignment vertical="top" wrapText="1"/>
    </xf>
    <xf numFmtId="0" fontId="4" fillId="135" borderId="1" applyAlignment="1" pivotButton="0" quotePrefix="0" xfId="0">
      <alignment vertical="top" wrapText="1"/>
    </xf>
    <xf numFmtId="0" fontId="4" fillId="136" borderId="1" applyAlignment="1" pivotButton="0" quotePrefix="0" xfId="0">
      <alignment vertical="top" wrapText="1"/>
    </xf>
    <xf numFmtId="0" fontId="4" fillId="137" borderId="1" applyAlignment="1" pivotButton="0" quotePrefix="0" xfId="0">
      <alignment vertical="top" wrapText="1"/>
    </xf>
    <xf numFmtId="0" fontId="4" fillId="138" borderId="1" applyAlignment="1" pivotButton="0" quotePrefix="0" xfId="0">
      <alignment vertical="top" wrapText="1"/>
    </xf>
    <xf numFmtId="0" fontId="4" fillId="139" borderId="1" applyAlignment="1" pivotButton="0" quotePrefix="0" xfId="0">
      <alignment vertical="top" wrapText="1"/>
    </xf>
    <xf numFmtId="0" fontId="4" fillId="140" borderId="1" applyAlignment="1" pivotButton="0" quotePrefix="0" xfId="0">
      <alignment vertical="top" wrapText="1"/>
    </xf>
    <xf numFmtId="0" fontId="4" fillId="141" borderId="1" applyAlignment="1" pivotButton="0" quotePrefix="0" xfId="0">
      <alignment vertical="top" wrapText="1"/>
    </xf>
    <xf numFmtId="0" fontId="4" fillId="142" borderId="1" applyAlignment="1" pivotButton="0" quotePrefix="0" xfId="0">
      <alignment vertical="top" wrapText="1"/>
    </xf>
    <xf numFmtId="0" fontId="4" fillId="143" borderId="1" applyAlignment="1" pivotButton="0" quotePrefix="0" xfId="0">
      <alignment vertical="top" wrapText="1"/>
    </xf>
    <xf numFmtId="0" fontId="4" fillId="144" borderId="1" applyAlignment="1" pivotButton="0" quotePrefix="0" xfId="0">
      <alignment vertical="top" wrapText="1"/>
    </xf>
    <xf numFmtId="0" fontId="4" fillId="145" borderId="1" applyAlignment="1" pivotButton="0" quotePrefix="0" xfId="0">
      <alignment vertical="top" wrapText="1"/>
    </xf>
    <xf numFmtId="0" fontId="4" fillId="146" borderId="1" applyAlignment="1" pivotButton="0" quotePrefix="0" xfId="0">
      <alignment vertical="top" wrapText="1"/>
    </xf>
    <xf numFmtId="0" fontId="4" fillId="147" borderId="1" applyAlignment="1" pivotButton="0" quotePrefix="0" xfId="0">
      <alignment vertical="top" wrapText="1"/>
    </xf>
    <xf numFmtId="0" fontId="4" fillId="148" borderId="1" applyAlignment="1" pivotButton="0" quotePrefix="0" xfId="0">
      <alignment vertical="top" wrapText="1"/>
    </xf>
    <xf numFmtId="0" fontId="4" fillId="149" borderId="1" applyAlignment="1" pivotButton="0" quotePrefix="0" xfId="0">
      <alignment vertical="top" wrapText="1"/>
    </xf>
    <xf numFmtId="0" fontId="4" fillId="150" borderId="1" applyAlignment="1" pivotButton="0" quotePrefix="0" xfId="0">
      <alignment vertical="top" wrapText="1"/>
    </xf>
    <xf numFmtId="0" fontId="4" fillId="151" borderId="1" applyAlignment="1" pivotButton="0" quotePrefix="0" xfId="0">
      <alignment vertical="top" wrapText="1"/>
    </xf>
    <xf numFmtId="0" fontId="4" fillId="152" borderId="1" applyAlignment="1" pivotButton="0" quotePrefix="0" xfId="0">
      <alignment vertical="top" wrapText="1"/>
    </xf>
    <xf numFmtId="0" fontId="4" fillId="153" borderId="1" applyAlignment="1" pivotButton="0" quotePrefix="0" xfId="0">
      <alignment vertical="top" wrapText="1"/>
    </xf>
    <xf numFmtId="0" fontId="4" fillId="154" borderId="1" applyAlignment="1" pivotButton="0" quotePrefix="0" xfId="0">
      <alignment vertical="top" wrapText="1"/>
    </xf>
    <xf numFmtId="0" fontId="4" fillId="155" borderId="1" applyAlignment="1" pivotButton="0" quotePrefix="0" xfId="0">
      <alignment vertical="top" wrapText="1"/>
    </xf>
    <xf numFmtId="0" fontId="4" fillId="156" borderId="1" applyAlignment="1" pivotButton="0" quotePrefix="0" xfId="0">
      <alignment vertical="top" wrapText="1"/>
    </xf>
    <xf numFmtId="0" fontId="4" fillId="157" borderId="1" applyAlignment="1" pivotButton="0" quotePrefix="0" xfId="0">
      <alignment vertical="top" wrapText="1"/>
    </xf>
    <xf numFmtId="0" fontId="4" fillId="158" borderId="1" applyAlignment="1" pivotButton="0" quotePrefix="0" xfId="0">
      <alignment vertical="top" wrapText="1"/>
    </xf>
    <xf numFmtId="0" fontId="4" fillId="159" borderId="1" applyAlignment="1" pivotButton="0" quotePrefix="0" xfId="0">
      <alignment vertical="top" wrapText="1"/>
    </xf>
    <xf numFmtId="0" fontId="4" fillId="160" borderId="1" applyAlignment="1" pivotButton="0" quotePrefix="0" xfId="0">
      <alignment vertical="top" wrapText="1"/>
    </xf>
    <xf numFmtId="0" fontId="4" fillId="161" borderId="1" applyAlignment="1" pivotButton="0" quotePrefix="0" xfId="0">
      <alignment vertical="top" wrapText="1"/>
    </xf>
    <xf numFmtId="0" fontId="4" fillId="162" borderId="1" applyAlignment="1" pivotButton="0" quotePrefix="0" xfId="0">
      <alignment vertical="top" wrapText="1"/>
    </xf>
    <xf numFmtId="0" fontId="4" fillId="163" borderId="1" applyAlignment="1" pivotButton="0" quotePrefix="0" xfId="0">
      <alignment vertical="top" wrapText="1"/>
    </xf>
    <xf numFmtId="0" fontId="4" fillId="164" borderId="1" applyAlignment="1" pivotButton="0" quotePrefix="0" xfId="0">
      <alignment vertical="top" wrapText="1"/>
    </xf>
    <xf numFmtId="0" fontId="4" fillId="165" borderId="1" applyAlignment="1" pivotButton="0" quotePrefix="0" xfId="0">
      <alignment vertical="top" wrapText="1"/>
    </xf>
    <xf numFmtId="0" fontId="4" fillId="166" borderId="1" applyAlignment="1" pivotButton="0" quotePrefix="0" xfId="0">
      <alignment vertical="top" wrapText="1"/>
    </xf>
    <xf numFmtId="0" fontId="4" fillId="167" borderId="1" applyAlignment="1" pivotButton="0" quotePrefix="0" xfId="0">
      <alignment vertical="top" wrapText="1"/>
    </xf>
    <xf numFmtId="0" fontId="4" fillId="168" borderId="1" applyAlignment="1" pivotButton="0" quotePrefix="0" xfId="0">
      <alignment vertical="top" wrapText="1"/>
    </xf>
    <xf numFmtId="0" fontId="4" fillId="169" borderId="1" applyAlignment="1" pivotButton="0" quotePrefix="0" xfId="0">
      <alignment vertical="top" wrapText="1"/>
    </xf>
    <xf numFmtId="0" fontId="4" fillId="170" borderId="1" applyAlignment="1" pivotButton="0" quotePrefix="0" xfId="0">
      <alignment vertical="top" wrapText="1"/>
    </xf>
    <xf numFmtId="0" fontId="4" fillId="171" borderId="1" applyAlignment="1" pivotButton="0" quotePrefix="0" xfId="0">
      <alignment vertical="top" wrapText="1"/>
    </xf>
    <xf numFmtId="0" fontId="4" fillId="172" borderId="1" applyAlignment="1" pivotButton="0" quotePrefix="0" xfId="0">
      <alignment vertical="top" wrapText="1"/>
    </xf>
    <xf numFmtId="0" fontId="4" fillId="173" borderId="1" applyAlignment="1" pivotButton="0" quotePrefix="0" xfId="0">
      <alignment vertical="top" wrapText="1"/>
    </xf>
    <xf numFmtId="0" fontId="4" fillId="174" borderId="1" applyAlignment="1" pivotButton="0" quotePrefix="0" xfId="0">
      <alignment vertical="top" wrapText="1"/>
    </xf>
    <xf numFmtId="0" fontId="4" fillId="175" borderId="1" applyAlignment="1" pivotButton="0" quotePrefix="0" xfId="0">
      <alignment vertical="top" wrapText="1"/>
    </xf>
    <xf numFmtId="0" fontId="4" fillId="176" borderId="1" applyAlignment="1" pivotButton="0" quotePrefix="0" xfId="0">
      <alignment vertical="top" wrapText="1"/>
    </xf>
    <xf numFmtId="0" fontId="4" fillId="177" borderId="1" applyAlignment="1" pivotButton="0" quotePrefix="0" xfId="0">
      <alignment vertical="top" wrapText="1"/>
    </xf>
    <xf numFmtId="0" fontId="4" fillId="178" borderId="1" applyAlignment="1" pivotButton="0" quotePrefix="0" xfId="0">
      <alignment vertical="top" wrapText="1"/>
    </xf>
    <xf numFmtId="0" fontId="4" fillId="179" borderId="1" applyAlignment="1" pivotButton="0" quotePrefix="0" xfId="0">
      <alignment vertical="top" wrapText="1"/>
    </xf>
    <xf numFmtId="0" fontId="4" fillId="180" borderId="1" applyAlignment="1" pivotButton="0" quotePrefix="0" xfId="0">
      <alignment vertical="top" wrapText="1"/>
    </xf>
    <xf numFmtId="0" fontId="4" fillId="181" borderId="1" applyAlignment="1" pivotButton="0" quotePrefix="0" xfId="0">
      <alignment vertical="top" wrapText="1"/>
    </xf>
    <xf numFmtId="0" fontId="4" fillId="182" borderId="1" applyAlignment="1" pivotButton="0" quotePrefix="0" xfId="0">
      <alignment vertical="top" wrapText="1"/>
    </xf>
    <xf numFmtId="0" fontId="4" fillId="183" borderId="1" applyAlignment="1" pivotButton="0" quotePrefix="0" xfId="0">
      <alignment vertical="top" wrapText="1"/>
    </xf>
    <xf numFmtId="0" fontId="4" fillId="184" borderId="1" applyAlignment="1" pivotButton="0" quotePrefix="0" xfId="0">
      <alignment vertical="top" wrapText="1"/>
    </xf>
    <xf numFmtId="0" fontId="4" fillId="185" borderId="1" applyAlignment="1" pivotButton="0" quotePrefix="0" xfId="0">
      <alignment vertical="top" wrapText="1"/>
    </xf>
    <xf numFmtId="0" fontId="4" fillId="186" borderId="1" applyAlignment="1" pivotButton="0" quotePrefix="0" xfId="0">
      <alignment vertical="top" wrapText="1"/>
    </xf>
    <xf numFmtId="0" fontId="4" fillId="187" borderId="1" applyAlignment="1" pivotButton="0" quotePrefix="0" xfId="0">
      <alignment vertical="top" wrapText="1"/>
    </xf>
    <xf numFmtId="0" fontId="4" fillId="188" borderId="1" applyAlignment="1" pivotButton="0" quotePrefix="0" xfId="0">
      <alignment vertical="top" wrapText="1"/>
    </xf>
    <xf numFmtId="0" fontId="4" fillId="189" borderId="1" applyAlignment="1" pivotButton="0" quotePrefix="0" xfId="0">
      <alignment vertical="top" wrapText="1"/>
    </xf>
    <xf numFmtId="0" fontId="4" fillId="190" borderId="1" applyAlignment="1" pivotButton="0" quotePrefix="0" xfId="0">
      <alignment vertical="top" wrapText="1"/>
    </xf>
    <xf numFmtId="0" fontId="4" fillId="191" borderId="1" applyAlignment="1" pivotButton="0" quotePrefix="0" xfId="0">
      <alignment vertical="top" wrapText="1"/>
    </xf>
    <xf numFmtId="0" fontId="4" fillId="192" borderId="1" applyAlignment="1" pivotButton="0" quotePrefix="0" xfId="0">
      <alignment vertical="top" wrapText="1"/>
    </xf>
    <xf numFmtId="0" fontId="4" fillId="193" borderId="1" applyAlignment="1" pivotButton="0" quotePrefix="0" xfId="0">
      <alignment vertical="top" wrapText="1"/>
    </xf>
    <xf numFmtId="0" fontId="4" fillId="194" borderId="1" applyAlignment="1" pivotButton="0" quotePrefix="0" xfId="0">
      <alignment vertical="top" wrapText="1"/>
    </xf>
    <xf numFmtId="0" fontId="4" fillId="195" borderId="1" applyAlignment="1" pivotButton="0" quotePrefix="0" xfId="0">
      <alignment vertical="top" wrapText="1"/>
    </xf>
    <xf numFmtId="0" fontId="4" fillId="196" borderId="1" applyAlignment="1" pivotButton="0" quotePrefix="0" xfId="0">
      <alignment vertical="top" wrapText="1"/>
    </xf>
    <xf numFmtId="0" fontId="4" fillId="197" borderId="1" applyAlignment="1" pivotButton="0" quotePrefix="0" xfId="0">
      <alignment vertical="top" wrapText="1"/>
    </xf>
    <xf numFmtId="0" fontId="4" fillId="198" borderId="1" applyAlignment="1" pivotButton="0" quotePrefix="0" xfId="0">
      <alignment vertical="top" wrapText="1"/>
    </xf>
    <xf numFmtId="0" fontId="4" fillId="199" borderId="1" applyAlignment="1" pivotButton="0" quotePrefix="0" xfId="0">
      <alignment vertical="top" wrapText="1"/>
    </xf>
    <xf numFmtId="0" fontId="4" fillId="200" borderId="1" applyAlignment="1" pivotButton="0" quotePrefix="0" xfId="0">
      <alignment vertical="top" wrapText="1"/>
    </xf>
    <xf numFmtId="0" fontId="4" fillId="201" borderId="1" applyAlignment="1" pivotButton="0" quotePrefix="0" xfId="0">
      <alignment vertical="top" wrapText="1"/>
    </xf>
    <xf numFmtId="0" fontId="4" fillId="202" borderId="1" applyAlignment="1" pivotButton="0" quotePrefix="0" xfId="0">
      <alignment vertical="top" wrapText="1"/>
    </xf>
    <xf numFmtId="0" fontId="4" fillId="203" borderId="1" applyAlignment="1" pivotButton="0" quotePrefix="0" xfId="0">
      <alignment vertical="top" wrapText="1"/>
    </xf>
    <xf numFmtId="0" fontId="4" fillId="204" borderId="1" applyAlignment="1" pivotButton="0" quotePrefix="0" xfId="0">
      <alignment vertical="top" wrapText="1"/>
    </xf>
    <xf numFmtId="0" fontId="4" fillId="205" borderId="1" applyAlignment="1" pivotButton="0" quotePrefix="0" xfId="0">
      <alignment vertical="top" wrapText="1"/>
    </xf>
    <xf numFmtId="0" fontId="4" fillId="206" borderId="1" applyAlignment="1" pivotButton="0" quotePrefix="0" xfId="0">
      <alignment vertical="top" wrapText="1"/>
    </xf>
    <xf numFmtId="0" fontId="4" fillId="207" borderId="1" applyAlignment="1" pivotButton="0" quotePrefix="0" xfId="0">
      <alignment vertical="top" wrapText="1"/>
    </xf>
    <xf numFmtId="0" fontId="4" fillId="208" borderId="1" applyAlignment="1" pivotButton="0" quotePrefix="0" xfId="0">
      <alignment vertical="top" wrapText="1"/>
    </xf>
    <xf numFmtId="0" fontId="4" fillId="209" borderId="1" applyAlignment="1" pivotButton="0" quotePrefix="0" xfId="0">
      <alignment vertical="top" wrapText="1"/>
    </xf>
    <xf numFmtId="0" fontId="4" fillId="210" borderId="1" applyAlignment="1" pivotButton="0" quotePrefix="0" xfId="0">
      <alignment vertical="top" wrapText="1"/>
    </xf>
    <xf numFmtId="0" fontId="4" fillId="211"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showGridLines="0" workbookViewId="0">
      <selection activeCell="A1" sqref="A1"/>
    </sheetView>
  </sheetViews>
  <sheetFormatPr baseColWidth="8" defaultRowHeight="15"/>
  <cols>
    <col width="4" customWidth="1" min="1" max="1"/>
    <col width="100" customWidth="1" min="2" max="2"/>
  </cols>
  <sheetData>
    <row r="1">
      <c r="A1" s="1" t="inlineStr">
        <is>
          <t>G-SELECT</t>
        </is>
      </c>
    </row>
    <row r="2">
      <c r="A2" s="2" t="inlineStr">
        <is>
          <t>SELECT ITEM 追加用スプレッドシート</t>
        </is>
      </c>
    </row>
    <row r="4">
      <c r="A4" s="3" t="inlineStr">
        <is>
          <t>このシートの目的</t>
        </is>
      </c>
    </row>
    <row r="5">
      <c r="B5" s="4" t="inlineStr">
        <is>
          <t>SELECT ITEM（product_sample.html）に掲載中の全アイテムのデータを反映し、新しいアイテムを追加するための入力フォームとしてまとめたものです。</t>
        </is>
      </c>
    </row>
    <row r="6">
      <c r="B6" s="4" t="inlineStr">
        <is>
          <t>新しいアイテムを追加したい場合は、各シートの「▼ここから新規追加▼」の下にある空いている行に入力し、このファイルをClaudeに渡して「このスプレッドシートの内容でSELECT ITEMにアイテムを追加して」と依頼してください。Webサイトへの反映はClaudeが行います。</t>
        </is>
      </c>
    </row>
    <row r="7">
      <c r="B7" s="4" t="inlineStr">
        <is>
          <t>既存アイテムの内容を修正したい場合は、該当行を直接書き換えて、修正した旨を添えてClaudeに渡してください。</t>
        </is>
      </c>
    </row>
    <row r="8">
      <c r="B8" s="4" t="inlineStr"/>
    </row>
    <row r="9">
      <c r="A9" s="3" t="inlineStr">
        <is>
          <t>★重要：新しい行は必ず「新規追加」欄に入力してください</t>
        </is>
      </c>
    </row>
    <row r="10">
      <c r="B10" s="4" t="inlineStr">
        <is>
          <t>商品IDの自動採番と、カタログリンクシートの商品ID自動連携は「行の位置」を基準に数式で動いています。</t>
        </is>
      </c>
    </row>
    <row r="11">
      <c r="B11" s="4" t="inlineStr">
        <is>
          <t>既存アイテムの行の間に新しい行を挿入すると、自動採番やリンクの対応がずれてしまいます。新しいアイテムは必ず「▼ここから新規追加▼」より下の、あらかじめ用意した空欄行に入力してください。</t>
        </is>
      </c>
    </row>
    <row r="12">
      <c r="B12" s="4" t="inlineStr">
        <is>
          <t>空欄行が足りなくなった場合は、行を挿入せずClaudeに「新規追加欄を増やして」と依頼してください。</t>
        </is>
      </c>
    </row>
    <row r="13">
      <c r="B13" s="4" t="inlineStr"/>
    </row>
    <row r="14">
      <c r="A14" s="3" t="inlineStr">
        <is>
          <t>シート構成（3枚＋設定シート）</t>
        </is>
      </c>
    </row>
    <row r="15">
      <c r="B15" s="4" t="inlineStr">
        <is>
          <t>①「商品マスタ」…アイテム1件につき1行。商品ID・カテゴリー・メーカー・商品名・説明文・画像などの基本情報。商品IDは掲載カテゴリーを選ぶと自動で採番されます（例：床材→floor-01, floor-02…）。</t>
        </is>
      </c>
    </row>
    <row r="16">
      <c r="B16" s="4" t="inlineStr">
        <is>
          <t>②「カラー展開」…カラー（色見本）がある商品のみ、色の数だけ行があります（1色〜18色まで商品により様々です）。商品マスタの商品IDをプルダウンで選んで紐づけます。</t>
        </is>
      </c>
    </row>
    <row r="17">
      <c r="B17" s="4" t="inlineStr">
        <is>
          <t>③「カタログリンク」…メーカーカタログ等へのリンクボタン（最大2件）。商品マスタと同じ並び順・同じ行数になっており、商品IDは自動で商品マスタから反映されます（入力不要）。</t>
        </is>
      </c>
    </row>
    <row r="18">
      <c r="B18" s="4" t="inlineStr">
        <is>
          <t>「設定」シートは商品ID自動採番のための内部データです。編集しないでください（通常は非表示になっています）。</t>
        </is>
      </c>
    </row>
    <row r="19">
      <c r="B19" s="4" t="inlineStr"/>
    </row>
    <row r="20">
      <c r="A20" s="3" t="inlineStr">
        <is>
          <t>商品ID（自動採番）</t>
        </is>
      </c>
    </row>
    <row r="21">
      <c r="B21" s="4" t="inlineStr">
        <is>
          <t>商品マスタの「商品ID」列は入力不要です。「掲載カテゴリー」を選択すると、「カテゴリーの英語コード-連番」の形で自動的に採番されます（例：floor-01, water-03）。</t>
        </is>
      </c>
    </row>
    <row r="22">
      <c r="B22" s="4" t="inlineStr">
        <is>
          <t>カラー展開シートでは、対応する商品ID（自動採番された値）をプルダウンから選んで入力してください。</t>
        </is>
      </c>
    </row>
    <row r="23">
      <c r="B23" s="4" t="inlineStr">
        <is>
          <t>カタログリンクシートの商品IDは商品マスタと行位置で自動連携されるため、入力不要です。</t>
        </is>
      </c>
    </row>
    <row r="24">
      <c r="B24" s="4" t="inlineStr"/>
    </row>
    <row r="25">
      <c r="A25" s="3" t="inlineStr">
        <is>
          <t>プルダウン（入力規則）について</t>
        </is>
      </c>
    </row>
    <row r="26">
      <c r="B26" s="4" t="inlineStr">
        <is>
          <t>「掲載カテゴリー」「メーカー名」「商品分類」「ボタン表示文言」は、現在Webサイトに実際に掲載されている値をプルダウンの選択肢にしています。</t>
        </is>
      </c>
    </row>
    <row r="27">
      <c r="B27" s="4" t="inlineStr">
        <is>
          <t>リストに無い新しいメーカー・分類・カテゴリーが必要な場合は、プルダウンを使わず直接セルに入力していただいて構いません（入力自体はブロックされません）。</t>
        </is>
      </c>
    </row>
    <row r="28">
      <c r="B28" s="4" t="inlineStr"/>
    </row>
    <row r="29">
      <c r="A29" s="3" t="inlineStr">
        <is>
          <t>画像について</t>
        </is>
      </c>
    </row>
    <row r="30">
      <c r="B30" s="4" t="inlineStr">
        <is>
          <t>画像ファイルそのものはこのシートには貼らず、担当者からClaudeへ別途データ（jpg/png）を渡してください。</t>
        </is>
      </c>
    </row>
    <row r="31">
      <c r="B31" s="4" t="inlineStr">
        <is>
          <t>新規アイテムの「画像ファイル名」列には、渡すファイルに付ける名前（半角英数、例：newitem.jpg）だけを入力します。</t>
        </is>
      </c>
    </row>
    <row r="32">
      <c r="B32" s="4" t="inlineStr"/>
    </row>
    <row r="33">
      <c r="A33" s="3" t="inlineStr">
        <is>
          <t>カラーコード（HEX）について</t>
        </is>
      </c>
    </row>
    <row r="34">
      <c r="B34" s="4" t="inlineStr">
        <is>
          <t>カラー名だけで構いません。HEXコード（#rrggbb）が分かる場合は入力すると、より正確な色見本になります。分からない場合は空欄でOKです。</t>
        </is>
      </c>
    </row>
    <row r="35">
      <c r="B35" s="4" t="inlineStr"/>
    </row>
    <row r="36">
      <c r="A36" s="3" t="inlineStr">
        <is>
          <t>2026-09-03時点でのWebサイトのアイテム掲載順（このシートのカテゴリープルダウンも同じ順番です）</t>
        </is>
      </c>
    </row>
    <row r="37">
      <c r="B37" s="5" t="inlineStr">
        <is>
          <t>1. 床材</t>
        </is>
      </c>
    </row>
    <row r="38">
      <c r="B38" s="5" t="inlineStr">
        <is>
          <t>2. 壁材（現在サイト上は準備中）</t>
        </is>
      </c>
    </row>
    <row r="39">
      <c r="B39" s="5" t="inlineStr">
        <is>
          <t>3. 植栽</t>
        </is>
      </c>
    </row>
    <row r="40">
      <c r="B40" s="5" t="inlineStr">
        <is>
          <t>4. デッキ</t>
        </is>
      </c>
    </row>
    <row r="41">
      <c r="B41" s="5" t="inlineStr">
        <is>
          <t>5. 照明</t>
        </is>
      </c>
    </row>
    <row r="42">
      <c r="B42" s="5" t="inlineStr">
        <is>
          <t>6. 表札</t>
        </is>
      </c>
    </row>
    <row r="43">
      <c r="B43" s="5" t="inlineStr">
        <is>
          <t>7. ポスト</t>
        </is>
      </c>
    </row>
    <row r="44">
      <c r="B44" s="5" t="inlineStr">
        <is>
          <t>8. 機能門柱</t>
        </is>
      </c>
    </row>
    <row r="45">
      <c r="B45" s="5" t="inlineStr">
        <is>
          <t>9. 人工芝・砂利</t>
        </is>
      </c>
    </row>
    <row r="46">
      <c r="B46" s="5" t="inlineStr">
        <is>
          <t>10. 立水栓</t>
        </is>
      </c>
    </row>
    <row r="47">
      <c r="B47" s="5" t="inlineStr">
        <is>
          <t>11. 木製エクステリア（Gストック）</t>
        </is>
      </c>
    </row>
    <row r="48">
      <c r="B48" s="5" t="inlineStr">
        <is>
          <t>12. デザインフェンス（現在サイト上は準備中）</t>
        </is>
      </c>
    </row>
    <row r="50">
      <c r="A50" s="3" t="inlineStr">
        <is>
          <t>メーカー名一覧（プルダウンの選択肢）</t>
        </is>
      </c>
    </row>
    <row r="51" ht="60" customHeight="1">
      <c r="B51" s="4" t="inlineStr">
        <is>
          <t>東洋工業、メイクランド、シンセイ福岡、メイクランド/EXISLAND、EXISLAND、アイコットリョーワ、名古屋モザイク、アイカ工業、三協アルミ、LIXIL、Panasonic、丸三タカギ、オンリーワン、ディーズガーデン、ギャザー/EXISLAND、ユニソン、グリーンフィールド、ヨシミツ毛織株式会社、オンリーワンクラブ、G-ストック</t>
        </is>
      </c>
    </row>
    <row r="53">
      <c r="A53" s="3" t="inlineStr">
        <is>
          <t>商品分類一覧（プルダウンの選択肢）</t>
        </is>
      </c>
    </row>
    <row r="54" ht="40" customHeight="1">
      <c r="B54" s="4" t="inlineStr">
        <is>
          <t>インターロッキング、平板、レンガ、ピンコロ、方形自然石、乱形自然石、定形タイル、不定形タイル、塗り壁材、蓋つきポスト、口金ポスト、独立ポスト、宅配ポスト、機能門柱、人工芝、砂利、立水栓、立水栓/水鉢、パン、スプリット</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0"/>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20" customWidth="1" min="4" max="4"/>
    <col width="26" customWidth="1" min="5" max="5"/>
    <col width="42" customWidth="1" min="6" max="6"/>
    <col width="20" customWidth="1" min="7" max="7"/>
    <col width="32" customWidth="1" min="8" max="8"/>
    <col width="34" customWidth="1" min="9" max="9"/>
    <col width="20" customWidth="1" min="10" max="10"/>
  </cols>
  <sheetData>
    <row r="1" ht="32" customHeight="1">
      <c r="A1" s="6" t="inlineStr">
        <is>
          <t>商品ID（自動）</t>
        </is>
      </c>
      <c r="B1" s="6" t="inlineStr">
        <is>
          <t>掲載カテゴリー*</t>
        </is>
      </c>
      <c r="C1" s="6" t="inlineStr">
        <is>
          <t>メーカー名</t>
        </is>
      </c>
      <c r="D1" s="6" t="inlineStr">
        <is>
          <t>商品分類（メーカー内の種別）</t>
        </is>
      </c>
      <c r="E1" s="6" t="inlineStr">
        <is>
          <t>商品名*</t>
        </is>
      </c>
      <c r="F1" s="6" t="inlineStr">
        <is>
          <t>商品説明文*</t>
        </is>
      </c>
      <c r="G1" s="6" t="inlineStr">
        <is>
          <t>画像ファイル名*</t>
        </is>
      </c>
      <c r="H1" s="6" t="inlineStr">
        <is>
          <t>画像alt文言（SEO用）*</t>
        </is>
      </c>
      <c r="I1" s="6" t="inlineStr">
        <is>
          <t>特設サイトリンクURL</t>
        </is>
      </c>
      <c r="J1" s="6" t="inlineStr">
        <is>
          <t>備考</t>
        </is>
      </c>
    </row>
    <row r="2">
      <c r="A2" s="7">
        <f>IF($B2="","",VLOOKUP($B2,設定!$A$2:$B$13,2,FALSE)&amp;"-"&amp;TEXT(COUNTIF($B$2:$B2,$B2),"00"))</f>
        <v/>
      </c>
      <c r="B2" s="8" t="inlineStr">
        <is>
          <t>床材</t>
        </is>
      </c>
      <c r="C2" s="8" t="inlineStr">
        <is>
          <t>東洋工業</t>
        </is>
      </c>
      <c r="D2" s="8" t="inlineStr">
        <is>
          <t>インターロッキング</t>
        </is>
      </c>
      <c r="E2" s="8" t="inlineStr">
        <is>
          <t>エクレル</t>
        </is>
      </c>
      <c r="F2" s="8" t="inlineStr">
        <is>
          <t>土や樹木に調和する色調に、自然に馴染む色ムラを表現。和洋問わず幅広くコーディネート。</t>
        </is>
      </c>
      <c r="G2" s="8" t="inlineStr">
        <is>
          <t>ecrele.jpg</t>
        </is>
      </c>
      <c r="H2" s="8" t="inlineStr">
        <is>
          <t>インターロッキング 東洋工業 エクレル</t>
        </is>
      </c>
      <c r="I2" s="8" t="inlineStr"/>
      <c r="J2" s="8" t="inlineStr"/>
    </row>
    <row r="3">
      <c r="A3" s="7">
        <f>IF($B3="","",VLOOKUP($B3,設定!$A$2:$B$13,2,FALSE)&amp;"-"&amp;TEXT(COUNTIF($B$2:$B3,$B3),"00"))</f>
        <v/>
      </c>
      <c r="B3" s="8" t="inlineStr">
        <is>
          <t>床材</t>
        </is>
      </c>
      <c r="C3" s="8" t="inlineStr">
        <is>
          <t>東洋工業</t>
        </is>
      </c>
      <c r="D3" s="8" t="inlineStr">
        <is>
          <t>インターロッキング</t>
        </is>
      </c>
      <c r="E3" s="8" t="inlineStr">
        <is>
          <t>ポルドブリック</t>
        </is>
      </c>
      <c r="F3" s="8" t="inlineStr">
        <is>
          <t>イタリア斑岩のような落ち着いた色調と質感で、気品漂う空間を演出。</t>
        </is>
      </c>
      <c r="G3" s="8" t="inlineStr">
        <is>
          <t>pordobrick.jpg</t>
        </is>
      </c>
      <c r="H3" s="8" t="inlineStr">
        <is>
          <t>インターロッキング 東洋工業 ポルドブリック</t>
        </is>
      </c>
      <c r="I3" s="8" t="inlineStr"/>
      <c r="J3" s="8" t="inlineStr"/>
    </row>
    <row r="4">
      <c r="A4" s="7">
        <f>IF($B4="","",VLOOKUP($B4,設定!$A$2:$B$13,2,FALSE)&amp;"-"&amp;TEXT(COUNTIF($B$2:$B4,$B4),"00"))</f>
        <v/>
      </c>
      <c r="B4" s="8" t="inlineStr">
        <is>
          <t>床材</t>
        </is>
      </c>
      <c r="C4" s="8" t="inlineStr">
        <is>
          <t>東洋工業</t>
        </is>
      </c>
      <c r="D4" s="8" t="inlineStr">
        <is>
          <t>インターロッキング</t>
        </is>
      </c>
      <c r="E4" s="8" t="inlineStr">
        <is>
          <t>ニュートペイブ</t>
        </is>
      </c>
      <c r="F4" s="8" t="inlineStr">
        <is>
          <t>ラフに仕上げた表面やエッジが、時と共にこなれた空間に。</t>
        </is>
      </c>
      <c r="G4" s="8" t="inlineStr">
        <is>
          <t>neutepave.jpg</t>
        </is>
      </c>
      <c r="H4" s="8" t="inlineStr">
        <is>
          <t>インターロッキング 東洋工業 ニュートペイブ</t>
        </is>
      </c>
      <c r="I4" s="8" t="inlineStr"/>
      <c r="J4" s="8" t="inlineStr"/>
    </row>
    <row r="5">
      <c r="A5" s="7">
        <f>IF($B5="","",VLOOKUP($B5,設定!$A$2:$B$13,2,FALSE)&amp;"-"&amp;TEXT(COUNTIF($B$2:$B5,$B5),"00"))</f>
        <v/>
      </c>
      <c r="B5" s="8" t="inlineStr">
        <is>
          <t>床材</t>
        </is>
      </c>
      <c r="C5" s="8" t="inlineStr">
        <is>
          <t>東洋工業</t>
        </is>
      </c>
      <c r="D5" s="8" t="inlineStr">
        <is>
          <t>インターロッキング</t>
        </is>
      </c>
      <c r="E5" s="8" t="inlineStr">
        <is>
          <t>カルムストーン</t>
        </is>
      </c>
      <c r="F5" s="8" t="inlineStr">
        <is>
          <t>天然石の深みある色合いを再現し、独自のRD加工によるナチュラルな質感が特徴。乱形ランダム模様で美しい空間に。</t>
        </is>
      </c>
      <c r="G5" s="8" t="inlineStr">
        <is>
          <t>calmestone.jpg</t>
        </is>
      </c>
      <c r="H5" s="8" t="inlineStr">
        <is>
          <t>インターロッキング 東洋工業 カルムストーン</t>
        </is>
      </c>
      <c r="I5" s="8" t="inlineStr"/>
      <c r="J5" s="8" t="inlineStr"/>
    </row>
    <row r="6">
      <c r="A6" s="7">
        <f>IF($B6="","",VLOOKUP($B6,設定!$A$2:$B$13,2,FALSE)&amp;"-"&amp;TEXT(COUNTIF($B$2:$B6,$B6),"00"))</f>
        <v/>
      </c>
      <c r="B6" s="8" t="inlineStr">
        <is>
          <t>床材</t>
        </is>
      </c>
      <c r="C6" s="8" t="inlineStr">
        <is>
          <t>東洋工業</t>
        </is>
      </c>
      <c r="D6" s="8" t="inlineStr">
        <is>
          <t>平板</t>
        </is>
      </c>
      <c r="E6" s="8" t="inlineStr">
        <is>
          <t>ヴィンテージウッドペイブ</t>
        </is>
      </c>
      <c r="F6" s="8" t="inlineStr">
        <is>
          <t>使い古された天然木のような質感が、ぬくもりのある空間を演出。</t>
        </is>
      </c>
      <c r="G6" s="8" t="inlineStr">
        <is>
          <t>vintagewoodpave.jpg</t>
        </is>
      </c>
      <c r="H6" s="8" t="inlineStr">
        <is>
          <t>平板 東洋工業 ヴィンテージウッドペイブ</t>
        </is>
      </c>
      <c r="I6" s="8" t="inlineStr"/>
      <c r="J6" s="8" t="inlineStr"/>
    </row>
    <row r="7">
      <c r="A7" s="7">
        <f>IF($B7="","",VLOOKUP($B7,設定!$A$2:$B$13,2,FALSE)&amp;"-"&amp;TEXT(COUNTIF($B$2:$B7,$B7),"00"))</f>
        <v/>
      </c>
      <c r="B7" s="8" t="inlineStr">
        <is>
          <t>床材</t>
        </is>
      </c>
      <c r="C7" s="8" t="inlineStr">
        <is>
          <t>東洋工業</t>
        </is>
      </c>
      <c r="D7" s="8" t="inlineStr">
        <is>
          <t>平板</t>
        </is>
      </c>
      <c r="E7" s="8" t="inlineStr">
        <is>
          <t>スギーペイブ</t>
        </is>
      </c>
      <c r="F7" s="8" t="inlineStr">
        <is>
          <t>杉板型枠のコンクリート打ち放しの素材感は、スタイリッシュに自然に馴染む。</t>
        </is>
      </c>
      <c r="G7" s="8" t="inlineStr">
        <is>
          <t>sugiepave.jpg</t>
        </is>
      </c>
      <c r="H7" s="8" t="inlineStr">
        <is>
          <t>平板 東洋工業 スギーペイブ</t>
        </is>
      </c>
      <c r="I7" s="8" t="inlineStr"/>
      <c r="J7" s="8" t="inlineStr"/>
    </row>
    <row r="8">
      <c r="A8" s="7">
        <f>IF($B8="","",VLOOKUP($B8,設定!$A$2:$B$13,2,FALSE)&amp;"-"&amp;TEXT(COUNTIF($B$2:$B8,$B8),"00"))</f>
        <v/>
      </c>
      <c r="B8" s="8" t="inlineStr">
        <is>
          <t>床材</t>
        </is>
      </c>
      <c r="C8" s="8" t="inlineStr">
        <is>
          <t>メイクランド</t>
        </is>
      </c>
      <c r="D8" s="8" t="inlineStr">
        <is>
          <t>レンガ</t>
        </is>
      </c>
      <c r="E8" s="8" t="inlineStr">
        <is>
          <t>ステラ</t>
        </is>
      </c>
      <c r="F8" s="8" t="inlineStr">
        <is>
          <t>積み敷き兼用タイプで、オーソドックスな定番カラーが落ち着いた印象のレンガです。</t>
        </is>
      </c>
      <c r="G8" s="8" t="inlineStr">
        <is>
          <t>stella.jpg</t>
        </is>
      </c>
      <c r="H8" s="8" t="inlineStr">
        <is>
          <t>レンガ メイクランド ステラ</t>
        </is>
      </c>
      <c r="I8" s="8" t="inlineStr"/>
      <c r="J8" s="8" t="inlineStr"/>
    </row>
    <row r="9">
      <c r="A9" s="7">
        <f>IF($B9="","",VLOOKUP($B9,設定!$A$2:$B$13,2,FALSE)&amp;"-"&amp;TEXT(COUNTIF($B$2:$B9,$B9),"00"))</f>
        <v/>
      </c>
      <c r="B9" s="8" t="inlineStr">
        <is>
          <t>床材</t>
        </is>
      </c>
      <c r="C9" s="8" t="inlineStr">
        <is>
          <t>シンセイ福岡</t>
        </is>
      </c>
      <c r="D9" s="8" t="inlineStr">
        <is>
          <t>レンガ</t>
        </is>
      </c>
      <c r="E9" s="8" t="inlineStr">
        <is>
          <t>ソイルレンガ</t>
        </is>
      </c>
      <c r="F9" s="8" t="inlineStr">
        <is>
          <t>土のぬくもりが漂う表面に、独特の焼きムラを加えた味わい深いレンガ。高温焼成により美しさ長持ち。</t>
        </is>
      </c>
      <c r="G9" s="8" t="inlineStr">
        <is>
          <t>soilbrick.jpg</t>
        </is>
      </c>
      <c r="H9" s="8" t="inlineStr">
        <is>
          <t>レンガ エクシスランド ソイルレンガ</t>
        </is>
      </c>
      <c r="I9" s="8" t="inlineStr"/>
      <c r="J9" s="8" t="inlineStr"/>
    </row>
    <row r="10">
      <c r="A10" s="7">
        <f>IF($B10="","",VLOOKUP($B10,設定!$A$2:$B$13,2,FALSE)&amp;"-"&amp;TEXT(COUNTIF($B$2:$B10,$B10),"00"))</f>
        <v/>
      </c>
      <c r="B10" s="8" t="inlineStr">
        <is>
          <t>床材</t>
        </is>
      </c>
      <c r="C10" s="8" t="inlineStr">
        <is>
          <t>メイクランド</t>
        </is>
      </c>
      <c r="D10" s="8" t="inlineStr">
        <is>
          <t>レンガ</t>
        </is>
      </c>
      <c r="E10" s="8" t="inlineStr">
        <is>
          <t>風シリーズ</t>
        </is>
      </c>
      <c r="F10" s="8" t="inlineStr">
        <is>
          <t>リーズナブルな国産のレンガで、色調に変化のある風シリーズは人気の商品です。</t>
        </is>
      </c>
      <c r="G10" s="8" t="inlineStr">
        <is>
          <t>kaze.jpg</t>
        </is>
      </c>
      <c r="H10" s="8" t="inlineStr">
        <is>
          <t>レンガ メイクランド 風</t>
        </is>
      </c>
      <c r="I10" s="8" t="inlineStr"/>
      <c r="J10" s="8" t="inlineStr"/>
    </row>
    <row r="11">
      <c r="A11" s="7">
        <f>IF($B11="","",VLOOKUP($B11,設定!$A$2:$B$13,2,FALSE)&amp;"-"&amp;TEXT(COUNTIF($B$2:$B11,$B11),"00"))</f>
        <v/>
      </c>
      <c r="B11" s="8" t="inlineStr">
        <is>
          <t>床材</t>
        </is>
      </c>
      <c r="C11" s="8" t="inlineStr">
        <is>
          <t>シンセイ福岡</t>
        </is>
      </c>
      <c r="D11" s="8" t="inlineStr">
        <is>
          <t>レンガ</t>
        </is>
      </c>
      <c r="E11" s="8" t="inlineStr">
        <is>
          <t>シンセイブリック</t>
        </is>
      </c>
      <c r="F11" s="8" t="inlineStr">
        <is>
          <t>高品質と機能性を重視したスタンダード積みレンガ。主張し過ぎない柔らかい表情と自然な色ムラが特徴。</t>
        </is>
      </c>
      <c r="G11" s="8" t="inlineStr">
        <is>
          <t>sinseibrick.jpg</t>
        </is>
      </c>
      <c r="H11" s="8" t="inlineStr">
        <is>
          <t>レンガ エクシスランド シンセイブリック</t>
        </is>
      </c>
      <c r="I11" s="8" t="inlineStr"/>
      <c r="J11" s="8" t="inlineStr"/>
    </row>
    <row r="12">
      <c r="A12" s="7">
        <f>IF($B12="","",VLOOKUP($B12,設定!$A$2:$B$13,2,FALSE)&amp;"-"&amp;TEXT(COUNTIF($B$2:$B12,$B12),"00"))</f>
        <v/>
      </c>
      <c r="B12" s="8" t="inlineStr">
        <is>
          <t>床材</t>
        </is>
      </c>
      <c r="C12" s="8" t="inlineStr">
        <is>
          <t>東洋工業</t>
        </is>
      </c>
      <c r="D12" s="8" t="inlineStr">
        <is>
          <t>レンガ</t>
        </is>
      </c>
      <c r="E12" s="8" t="inlineStr">
        <is>
          <t>シャルドブリックペイブ</t>
        </is>
      </c>
      <c r="F12" s="8" t="inlineStr">
        <is>
          <t>ヴィンテージレンガの質感と色調を再現。表面もこだわりのある凹凸で魅力的な古さを想わせる風合い。</t>
        </is>
      </c>
      <c r="G12" s="8" t="inlineStr">
        <is>
          <t>chaldbrick.jpg</t>
        </is>
      </c>
      <c r="H12" s="8" t="inlineStr">
        <is>
          <t>レンガ 東洋工業 シャルドブリックペイブ</t>
        </is>
      </c>
      <c r="I12" s="8" t="inlineStr"/>
      <c r="J12" s="8" t="inlineStr"/>
    </row>
    <row r="13">
      <c r="A13" s="7">
        <f>IF($B13="","",VLOOKUP($B13,設定!$A$2:$B$13,2,FALSE)&amp;"-"&amp;TEXT(COUNTIF($B$2:$B13,$B13),"00"))</f>
        <v/>
      </c>
      <c r="B13" s="8" t="inlineStr">
        <is>
          <t>床材</t>
        </is>
      </c>
      <c r="C13" s="8" t="inlineStr">
        <is>
          <t>メイクランド/EXISLAND</t>
        </is>
      </c>
      <c r="D13" s="8" t="inlineStr">
        <is>
          <t>ピンコロ</t>
        </is>
      </c>
      <c r="E13" s="8" t="inlineStr">
        <is>
          <t>ブイグラニット/ピンコロ</t>
        </is>
      </c>
      <c r="F13" s="8" t="inlineStr">
        <is>
          <t>形状が安定し施工性に優れ、豊富なカラーとサイズで活躍。</t>
        </is>
      </c>
      <c r="G13" s="8" t="inlineStr">
        <is>
          <t>vgranite.jpg</t>
        </is>
      </c>
      <c r="H13" s="8" t="inlineStr">
        <is>
          <t>エクシスランド ビンコロ メイクランド ブイグラニット</t>
        </is>
      </c>
      <c r="I13" s="8" t="inlineStr"/>
      <c r="J13" s="8" t="inlineStr"/>
    </row>
    <row r="14">
      <c r="A14" s="7">
        <f>IF($B14="","",VLOOKUP($B14,設定!$A$2:$B$13,2,FALSE)&amp;"-"&amp;TEXT(COUNTIF($B$2:$B14,$B14),"00"))</f>
        <v/>
      </c>
      <c r="B14" s="8" t="inlineStr">
        <is>
          <t>床材</t>
        </is>
      </c>
      <c r="C14" s="8" t="inlineStr">
        <is>
          <t>東洋工業</t>
        </is>
      </c>
      <c r="D14" s="8" t="inlineStr">
        <is>
          <t>ピンコロ</t>
        </is>
      </c>
      <c r="E14" s="8" t="inlineStr">
        <is>
          <t>プリコロ</t>
        </is>
      </c>
      <c r="F14" s="8" t="inlineStr">
        <is>
          <t>自由なデザイン性と使い勝手のよいサイズで人気のレンガタイプピンコロ。</t>
        </is>
      </c>
      <c r="G14" s="8" t="inlineStr">
        <is>
          <t>pricolo.jpg</t>
        </is>
      </c>
      <c r="H14" s="8" t="inlineStr">
        <is>
          <t>ビンコロ 東洋工業 プリコロ</t>
        </is>
      </c>
      <c r="I14" s="8" t="inlineStr"/>
      <c r="J14" s="8" t="inlineStr"/>
    </row>
    <row r="15">
      <c r="A15" s="7">
        <f>IF($B15="","",VLOOKUP($B15,設定!$A$2:$B$13,2,FALSE)&amp;"-"&amp;TEXT(COUNTIF($B$2:$B15,$B15),"00"))</f>
        <v/>
      </c>
      <c r="B15" s="8" t="inlineStr">
        <is>
          <t>床材</t>
        </is>
      </c>
      <c r="C15" s="8" t="inlineStr">
        <is>
          <t>メイクランド/EXISLAND</t>
        </is>
      </c>
      <c r="D15" s="8" t="inlineStr">
        <is>
          <t>方形自然石</t>
        </is>
      </c>
      <c r="E15" s="8" t="inlineStr">
        <is>
          <t>フランドル・ポルフィリ（ポルフィード）</t>
        </is>
      </c>
      <c r="F15" s="8" t="inlineStr">
        <is>
          <t>ヨーロッパ産の天然石が石畳のような重厚で趣のある空間に。</t>
        </is>
      </c>
      <c r="G15" s="8" t="inlineStr">
        <is>
          <t>flandersporphyry.jpg</t>
        </is>
      </c>
      <c r="H15" s="8" t="inlineStr">
        <is>
          <t>方形自然石 メイクランド フランドル・ポルフィリ エクシスランド フランドル・ポルフィード</t>
        </is>
      </c>
      <c r="I15" s="8" t="inlineStr"/>
      <c r="J15" s="8" t="inlineStr"/>
    </row>
    <row r="16">
      <c r="A16" s="7">
        <f>IF($B16="","",VLOOKUP($B16,設定!$A$2:$B$13,2,FALSE)&amp;"-"&amp;TEXT(COUNTIF($B$2:$B16,$B16),"00"))</f>
        <v/>
      </c>
      <c r="B16" s="8" t="inlineStr">
        <is>
          <t>床材</t>
        </is>
      </c>
      <c r="C16" s="8" t="inlineStr">
        <is>
          <t>メイクランド</t>
        </is>
      </c>
      <c r="D16" s="8" t="inlineStr">
        <is>
          <t>方形自然石</t>
        </is>
      </c>
      <c r="E16" s="8" t="inlineStr">
        <is>
          <t>デュオストーン</t>
        </is>
      </c>
      <c r="F16" s="8" t="inlineStr">
        <is>
          <t>ナチュラルからモダンまで使いやすい豊かなカラー。自然石特有の色ムラが、重厚ながらリズミカルに。</t>
        </is>
      </c>
      <c r="G16" s="8" t="inlineStr">
        <is>
          <t>duostone.jpg</t>
        </is>
      </c>
      <c r="H16" s="8" t="inlineStr">
        <is>
          <t>方形自然石 メイクランド デュオストーン</t>
        </is>
      </c>
      <c r="I16" s="8" t="inlineStr"/>
      <c r="J16" s="8" t="inlineStr"/>
    </row>
    <row r="17">
      <c r="A17" s="7">
        <f>IF($B17="","",VLOOKUP($B17,設定!$A$2:$B$13,2,FALSE)&amp;"-"&amp;TEXT(COUNTIF($B$2:$B17,$B17),"00"))</f>
        <v/>
      </c>
      <c r="B17" s="8" t="inlineStr">
        <is>
          <t>床材</t>
        </is>
      </c>
      <c r="C17" s="8" t="inlineStr">
        <is>
          <t>EXISLAND</t>
        </is>
      </c>
      <c r="D17" s="8" t="inlineStr">
        <is>
          <t>方形自然石</t>
        </is>
      </c>
      <c r="E17" s="8" t="inlineStr">
        <is>
          <t>ベルストーン</t>
        </is>
      </c>
      <c r="F17" s="8" t="inlineStr">
        <is>
          <t>ナチュラルからモダンまで使いやすい豊かなカラー。自然石特有の色ムラが、重厚ながらリズミカルに。</t>
        </is>
      </c>
      <c r="G17" s="8" t="inlineStr">
        <is>
          <t>bellstone.jpg</t>
        </is>
      </c>
      <c r="H17" s="8" t="inlineStr">
        <is>
          <t>方形自然石 エクシスランド ベルストーン</t>
        </is>
      </c>
      <c r="I17" s="8" t="inlineStr"/>
      <c r="J17" s="8" t="inlineStr"/>
    </row>
    <row r="18">
      <c r="A18" s="7">
        <f>IF($B18="","",VLOOKUP($B18,設定!$A$2:$B$13,2,FALSE)&amp;"-"&amp;TEXT(COUNTIF($B$2:$B18,$B18),"00"))</f>
        <v/>
      </c>
      <c r="B18" s="8" t="inlineStr">
        <is>
          <t>床材</t>
        </is>
      </c>
      <c r="C18" s="8" t="inlineStr">
        <is>
          <t>メイクランド/EXISLAND</t>
        </is>
      </c>
      <c r="D18" s="8" t="inlineStr">
        <is>
          <t>方形自然石</t>
        </is>
      </c>
      <c r="E18" s="8" t="inlineStr">
        <is>
          <t>ヴォルケーノ/ボルケーノ</t>
        </is>
      </c>
      <c r="F18" s="8" t="inlineStr">
        <is>
          <t>吸水率・保水率が高く「打ち水」効果があり、お庭の温度上昇も抑える溶岩石。</t>
        </is>
      </c>
      <c r="G18" s="8" t="inlineStr">
        <is>
          <t>volcanostone.jpg</t>
        </is>
      </c>
      <c r="H18" s="8" t="inlineStr">
        <is>
          <t>方形自然石 メイクランド ヴォルケーノストーン エクシスランド ラヴァストーン</t>
        </is>
      </c>
      <c r="I18" s="8" t="inlineStr"/>
      <c r="J18" s="8" t="inlineStr"/>
    </row>
    <row r="19">
      <c r="A19" s="7">
        <f>IF($B19="","",VLOOKUP($B19,設定!$A$2:$B$13,2,FALSE)&amp;"-"&amp;TEXT(COUNTIF($B$2:$B19,$B19),"00"))</f>
        <v/>
      </c>
      <c r="B19" s="8" t="inlineStr">
        <is>
          <t>床材</t>
        </is>
      </c>
      <c r="C19" s="8" t="inlineStr">
        <is>
          <t>メイクランド/EXISLAND</t>
        </is>
      </c>
      <c r="D19" s="8" t="inlineStr">
        <is>
          <t>乱形自然石</t>
        </is>
      </c>
      <c r="E19" s="8" t="inlineStr">
        <is>
          <t>エルドラドクオーツ/クオーツストーン</t>
        </is>
      </c>
      <c r="F19" s="8" t="inlineStr">
        <is>
          <t>人気のブラジル産石英岩。明るくやさしい色合いがお庭を華やかに演出。</t>
        </is>
      </c>
      <c r="G19" s="8" t="inlineStr">
        <is>
          <t>quartz.jpg</t>
        </is>
      </c>
      <c r="H19" s="8" t="inlineStr">
        <is>
          <t>乱形自然石 メイクランド エルドラドクオーツ</t>
        </is>
      </c>
      <c r="I19" s="8" t="inlineStr"/>
      <c r="J19" s="8" t="inlineStr"/>
    </row>
    <row r="20">
      <c r="A20" s="7">
        <f>IF($B20="","",VLOOKUP($B20,設定!$A$2:$B$13,2,FALSE)&amp;"-"&amp;TEXT(COUNTIF($B$2:$B20,$B20),"00"))</f>
        <v/>
      </c>
      <c r="B20" s="8" t="inlineStr">
        <is>
          <t>床材</t>
        </is>
      </c>
      <c r="C20" s="8" t="inlineStr">
        <is>
          <t>アイコットリョーワ</t>
        </is>
      </c>
      <c r="D20" s="8" t="inlineStr">
        <is>
          <t>定形タイル</t>
        </is>
      </c>
      <c r="E20" s="8" t="inlineStr">
        <is>
          <t>マディソン</t>
        </is>
      </c>
      <c r="F20" s="8" t="inlineStr">
        <is>
          <t>豊富なカラーバリエーションの組み合わせで、お庭を自由自在に彩ります。</t>
        </is>
      </c>
      <c r="G20" s="8" t="inlineStr">
        <is>
          <t>madison.jpg</t>
        </is>
      </c>
      <c r="H20" s="8" t="inlineStr">
        <is>
          <t>定形タイル アイコットリョーワ マディソン</t>
        </is>
      </c>
      <c r="I20" s="8" t="inlineStr"/>
      <c r="J20" s="8" t="inlineStr"/>
    </row>
    <row r="21">
      <c r="A21" s="7">
        <f>IF($B21="","",VLOOKUP($B21,設定!$A$2:$B$13,2,FALSE)&amp;"-"&amp;TEXT(COUNTIF($B$2:$B21,$B21),"00"))</f>
        <v/>
      </c>
      <c r="B21" s="8" t="inlineStr">
        <is>
          <t>床材</t>
        </is>
      </c>
      <c r="C21" s="8" t="inlineStr">
        <is>
          <t>アイコットリョーワ</t>
        </is>
      </c>
      <c r="D21" s="8" t="inlineStr">
        <is>
          <t>定形タイル</t>
        </is>
      </c>
      <c r="E21" s="8" t="inlineStr">
        <is>
          <t>カリラ</t>
        </is>
      </c>
      <c r="F21" s="8" t="inlineStr">
        <is>
          <t>独自のノンスリップ技術により外床も内床も。美しく気品ある空間を演出。</t>
        </is>
      </c>
      <c r="G21" s="8" t="inlineStr">
        <is>
          <t>caolila.jpg</t>
        </is>
      </c>
      <c r="H21" s="8" t="inlineStr">
        <is>
          <t>定形タイル アイコットリョーワ カリラ</t>
        </is>
      </c>
      <c r="I21" s="8" t="inlineStr"/>
      <c r="J21" s="8" t="inlineStr"/>
    </row>
    <row r="22">
      <c r="A22" s="7">
        <f>IF($B22="","",VLOOKUP($B22,設定!$A$2:$B$13,2,FALSE)&amp;"-"&amp;TEXT(COUNTIF($B$2:$B22,$B22),"00"))</f>
        <v/>
      </c>
      <c r="B22" s="8" t="inlineStr">
        <is>
          <t>床材</t>
        </is>
      </c>
      <c r="C22" s="8" t="inlineStr">
        <is>
          <t>アイコットリョーワ</t>
        </is>
      </c>
      <c r="D22" s="8" t="inlineStr">
        <is>
          <t>不定形タイル</t>
        </is>
      </c>
      <c r="E22" s="8" t="inlineStr">
        <is>
          <t>クラレット</t>
        </is>
      </c>
      <c r="F22" s="8" t="inlineStr">
        <is>
          <t>自然石のような質感で外構や壁面にアクセントを加えるデザイン性が魅力。</t>
        </is>
      </c>
      <c r="G22" s="8" t="inlineStr">
        <is>
          <t>claret.jpg</t>
        </is>
      </c>
      <c r="H22" s="8" t="inlineStr">
        <is>
          <t>不定形タイル アイコットリョーワ クラレット</t>
        </is>
      </c>
      <c r="I22" s="8" t="inlineStr"/>
      <c r="J22" s="8" t="inlineStr"/>
    </row>
    <row r="23">
      <c r="A23" s="7">
        <f>IF($B23="","",VLOOKUP($B23,設定!$A$2:$B$13,2,FALSE)&amp;"-"&amp;TEXT(COUNTIF($B$2:$B23,$B23),"00"))</f>
        <v/>
      </c>
      <c r="B23" s="8" t="inlineStr">
        <is>
          <t>床材</t>
        </is>
      </c>
      <c r="C23" s="8" t="inlineStr">
        <is>
          <t>名古屋モザイク</t>
        </is>
      </c>
      <c r="D23" s="8" t="inlineStr">
        <is>
          <t>不定形タイル</t>
        </is>
      </c>
      <c r="E23" s="8" t="inlineStr">
        <is>
          <t>プリントモザイク</t>
        </is>
      </c>
      <c r="F23" s="8" t="inlineStr">
        <is>
          <t>手作りの味わいにあふれた個性的な表情の、カラー豊富なモザイクタイル。</t>
        </is>
      </c>
      <c r="G23" s="8" t="inlineStr">
        <is>
          <t>printmosaic.jpg</t>
        </is>
      </c>
      <c r="H23" s="8" t="inlineStr">
        <is>
          <t>不定形タイル 名古屋モザイク プリントモザイク</t>
        </is>
      </c>
      <c r="I23" s="8" t="inlineStr"/>
      <c r="J23" s="8" t="inlineStr"/>
    </row>
    <row r="24">
      <c r="A24" s="7">
        <f>IF($B24="","",VLOOKUP($B24,設定!$A$2:$B$13,2,FALSE)&amp;"-"&amp;TEXT(COUNTIF($B$2:$B24,$B24),"00"))</f>
        <v/>
      </c>
      <c r="B24" s="8" t="inlineStr">
        <is>
          <t>床材</t>
        </is>
      </c>
      <c r="C24" s="8" t="inlineStr">
        <is>
          <t>東洋工業</t>
        </is>
      </c>
      <c r="D24" s="8" t="inlineStr">
        <is>
          <t>インターロッキング</t>
        </is>
      </c>
      <c r="E24" s="8" t="inlineStr">
        <is>
          <t>シフル</t>
        </is>
      </c>
      <c r="F24" s="8" t="inlineStr">
        <is>
          <t>素朴で温かみのある表情に、際立つ洗練されたデザイン。</t>
        </is>
      </c>
      <c r="G24" s="8" t="inlineStr">
        <is>
          <t>sifule.jpg</t>
        </is>
      </c>
      <c r="H24" s="8" t="inlineStr">
        <is>
          <t>インターロッキング 東洋工業 シフル</t>
        </is>
      </c>
      <c r="I24" s="8" t="inlineStr"/>
      <c r="J24" s="8" t="inlineStr"/>
    </row>
    <row r="25">
      <c r="A25" s="7">
        <f>IF($B25="","",VLOOKUP($B25,設定!$A$2:$B$13,2,FALSE)&amp;"-"&amp;TEXT(COUNTIF($B$2:$B25,$B25),"00"))</f>
        <v/>
      </c>
      <c r="B25" s="8" t="inlineStr">
        <is>
          <t>床材</t>
        </is>
      </c>
      <c r="C25" s="8" t="inlineStr">
        <is>
          <t>東洋工業</t>
        </is>
      </c>
      <c r="D25" s="8" t="inlineStr">
        <is>
          <t>平板</t>
        </is>
      </c>
      <c r="E25" s="8" t="inlineStr">
        <is>
          <t>レイルスリーパーペイブライト</t>
        </is>
      </c>
      <c r="F25" s="8" t="inlineStr">
        <is>
          <t>エッジの効いたデザインと施工性に優れた薄さが特長</t>
        </is>
      </c>
      <c r="G25" s="8" t="inlineStr">
        <is>
          <t>railsleeperpavelight.jpg</t>
        </is>
      </c>
      <c r="H25" s="8" t="inlineStr">
        <is>
          <t>平板 東洋工業 レイルスリーパーペイブライト</t>
        </is>
      </c>
      <c r="I25" s="8" t="inlineStr"/>
      <c r="J25" s="8" t="inlineStr"/>
    </row>
    <row r="26">
      <c r="A26" s="7">
        <f>IF($B26="","",VLOOKUP($B26,設定!$A$2:$B$13,2,FALSE)&amp;"-"&amp;TEXT(COUNTIF($B$2:$B26,$B26),"00"))</f>
        <v/>
      </c>
      <c r="B26" s="8" t="inlineStr">
        <is>
          <t>床材</t>
        </is>
      </c>
      <c r="C26" s="8" t="inlineStr">
        <is>
          <t>東洋工業</t>
        </is>
      </c>
      <c r="D26" s="8" t="inlineStr">
        <is>
          <t>インターロッキング</t>
        </is>
      </c>
      <c r="E26" s="8" t="inlineStr">
        <is>
          <t>グラスハイブリックボーダー</t>
        </is>
      </c>
      <c r="F26" s="8" t="inlineStr">
        <is>
          <t>デザイン性に幅を持たせることができる緑化舗装材。</t>
        </is>
      </c>
      <c r="G26" s="8" t="inlineStr">
        <is>
          <t>grasshibrickborder.jpg</t>
        </is>
      </c>
      <c r="H26" s="8" t="inlineStr">
        <is>
          <t>インターロッキング 東洋工業 グラスハイブリックボーダー</t>
        </is>
      </c>
      <c r="I26" s="8" t="inlineStr"/>
      <c r="J26" s="8" t="inlineStr"/>
    </row>
    <row r="27">
      <c r="A27" s="7">
        <f>IF($B27="","",VLOOKUP($B27,設定!$A$2:$B$13,2,FALSE)&amp;"-"&amp;TEXT(COUNTIF($B$2:$B27,$B27),"00"))</f>
        <v/>
      </c>
      <c r="B27" s="8" t="inlineStr">
        <is>
          <t>壁材</t>
        </is>
      </c>
      <c r="C27" s="8" t="inlineStr">
        <is>
          <t>アイカ工業</t>
        </is>
      </c>
      <c r="D27" s="8" t="inlineStr">
        <is>
          <t>塗り壁材</t>
        </is>
      </c>
      <c r="E27" s="8" t="inlineStr">
        <is>
          <t>ジョリパット</t>
        </is>
      </c>
      <c r="F27" s="8" t="inlineStr">
        <is>
          <t>左官仕上げで意匠性を高める塗り壁材。カラーは180色以上と無数にありますが、その中からグランド工房イチオシの推奨10色（白系・黒系・茶系）をセレクトしました。建物の色味に合わせて選ぶと統一感のある美しい空間になります。</t>
        </is>
      </c>
      <c r="G27" s="8" t="inlineStr">
        <is>
          <t>jolipate.jpg</t>
        </is>
      </c>
      <c r="H27" s="8" t="inlineStr">
        <is>
          <t>壁材 アイカ工業 ジョリパット</t>
        </is>
      </c>
      <c r="I27" s="8" t="inlineStr"/>
      <c r="J27" s="8" t="inlineStr"/>
    </row>
    <row r="28">
      <c r="A28" s="7">
        <f>IF($B28="","",VLOOKUP($B28,設定!$A$2:$B$13,2,FALSE)&amp;"-"&amp;TEXT(COUNTIF($B$2:$B28,$B28),"00"))</f>
        <v/>
      </c>
      <c r="B28" s="8" t="inlineStr">
        <is>
          <t>植栽</t>
        </is>
      </c>
      <c r="C28" s="8" t="inlineStr"/>
      <c r="D28" s="8" t="inlineStr"/>
      <c r="E28" s="8" t="inlineStr">
        <is>
          <t>落葉高木</t>
        </is>
      </c>
      <c r="F28" s="8" t="inlineStr">
        <is>
          <t>日本の山地に自生する落葉樹。秋の紅葉が美しく、庭木や公園樹として人気。</t>
        </is>
      </c>
      <c r="G28" s="8" t="inlineStr">
        <is>
          <t>yamamomiji.jpg</t>
        </is>
      </c>
      <c r="H28" s="8" t="inlineStr">
        <is>
          <t>植栽 ヤマモミジ</t>
        </is>
      </c>
      <c r="I28" s="8" t="inlineStr"/>
      <c r="J28" s="8" t="inlineStr"/>
    </row>
    <row r="29">
      <c r="A29" s="7">
        <f>IF($B29="","",VLOOKUP($B29,設定!$A$2:$B$13,2,FALSE)&amp;"-"&amp;TEXT(COUNTIF($B$2:$B29,$B29),"00"))</f>
        <v/>
      </c>
      <c r="B29" s="8" t="inlineStr">
        <is>
          <t>植栽</t>
        </is>
      </c>
      <c r="C29" s="8" t="inlineStr"/>
      <c r="D29" s="8" t="inlineStr"/>
      <c r="E29" s="8" t="inlineStr">
        <is>
          <t>落葉小高木</t>
        </is>
      </c>
      <c r="F29" s="8" t="inlineStr">
        <is>
          <t>日本を代表する紅葉樹。葉の切れ込みが深く、秋には鮮やかな赤や橙に色づく。</t>
        </is>
      </c>
      <c r="G29" s="8" t="inlineStr">
        <is>
          <t>irohamomiji.jpg</t>
        </is>
      </c>
      <c r="H29" s="8" t="inlineStr">
        <is>
          <t>植栽 イロハモミジ</t>
        </is>
      </c>
      <c r="I29" s="8" t="inlineStr"/>
      <c r="J29" s="8" t="inlineStr"/>
    </row>
    <row r="30">
      <c r="A30" s="7">
        <f>IF($B30="","",VLOOKUP($B30,設定!$A$2:$B$13,2,FALSE)&amp;"-"&amp;TEXT(COUNTIF($B$2:$B30,$B30),"00"))</f>
        <v/>
      </c>
      <c r="B30" s="8" t="inlineStr">
        <is>
          <t>植栽</t>
        </is>
      </c>
      <c r="C30" s="8" t="inlineStr"/>
      <c r="D30" s="8" t="inlineStr"/>
      <c r="E30" s="8" t="inlineStr">
        <is>
          <t>落葉小高木</t>
        </is>
      </c>
      <c r="F30" s="8" t="inlineStr">
        <is>
          <t>初夏に白い花を咲かせる落葉樹。側枝の先端に房状に芳香のある直径約25mmほどの花を下向きにつける。</t>
        </is>
      </c>
      <c r="G30" s="8" t="inlineStr">
        <is>
          <t>egonoki.jpg</t>
        </is>
      </c>
      <c r="H30" s="8" t="inlineStr">
        <is>
          <t>植栽 エゴノキ</t>
        </is>
      </c>
      <c r="I30" s="8" t="inlineStr"/>
      <c r="J30" s="8" t="inlineStr"/>
    </row>
    <row r="31">
      <c r="A31" s="7">
        <f>IF($B31="","",VLOOKUP($B31,設定!$A$2:$B$13,2,FALSE)&amp;"-"&amp;TEXT(COUNTIF($B$2:$B31,$B31),"00"))</f>
        <v/>
      </c>
      <c r="B31" s="8" t="inlineStr">
        <is>
          <t>植栽</t>
        </is>
      </c>
      <c r="C31" s="8" t="inlineStr"/>
      <c r="D31" s="8" t="inlineStr"/>
      <c r="E31" s="8" t="inlineStr">
        <is>
          <t>落葉中高木</t>
        </is>
      </c>
      <c r="F31" s="8" t="inlineStr">
        <is>
          <t>細い幹と涼しげな葉が特徴の落葉樹。春に白い小花を多数つける。樹形の自然な雰囲気を活かして庭木などに人気。</t>
        </is>
      </c>
      <c r="G31" s="8" t="inlineStr">
        <is>
          <t>aodamo.jpg</t>
        </is>
      </c>
      <c r="H31" s="8" t="inlineStr">
        <is>
          <t>植栽 アオダモ</t>
        </is>
      </c>
      <c r="I31" s="8" t="inlineStr"/>
      <c r="J31" s="8" t="inlineStr"/>
    </row>
    <row r="32">
      <c r="A32" s="7">
        <f>IF($B32="","",VLOOKUP($B32,設定!$A$2:$B$13,2,FALSE)&amp;"-"&amp;TEXT(COUNTIF($B$2:$B32,$B32),"00"))</f>
        <v/>
      </c>
      <c r="B32" s="8" t="inlineStr">
        <is>
          <t>植栽</t>
        </is>
      </c>
      <c r="C32" s="8" t="inlineStr"/>
      <c r="D32" s="8" t="inlineStr"/>
      <c r="E32" s="8" t="inlineStr">
        <is>
          <t>落葉小木</t>
        </is>
      </c>
      <c r="F32" s="8" t="inlineStr">
        <is>
          <t>バラ科に属する落葉樹。春に白い花を咲かせ、果実が6月に収穫できる。花、果実、紅葉を楽しめる庭木として人気。</t>
        </is>
      </c>
      <c r="G32" s="8" t="inlineStr">
        <is>
          <t>juneberry.jpg</t>
        </is>
      </c>
      <c r="H32" s="8" t="inlineStr">
        <is>
          <t>植栽 ジューンベリー</t>
        </is>
      </c>
      <c r="I32" s="8" t="inlineStr"/>
      <c r="J32" s="8" t="inlineStr"/>
    </row>
    <row r="33">
      <c r="A33" s="7">
        <f>IF($B33="","",VLOOKUP($B33,設定!$A$2:$B$13,2,FALSE)&amp;"-"&amp;TEXT(COUNTIF($B$2:$B33,$B33),"00"))</f>
        <v/>
      </c>
      <c r="B33" s="8" t="inlineStr">
        <is>
          <t>デッキ</t>
        </is>
      </c>
      <c r="C33" s="8" t="inlineStr">
        <is>
          <t>三協アルミ</t>
        </is>
      </c>
      <c r="D33" s="8" t="inlineStr"/>
      <c r="E33" s="8" t="inlineStr">
        <is>
          <t>フロワ</t>
        </is>
      </c>
      <c r="F33" s="8" t="inlineStr">
        <is>
          <t>「内と外」の境界をなくし、すべてのシーンをシームレスに。内と外、自然と建築、人と空間がしなやかに調和します。</t>
        </is>
      </c>
      <c r="G33" s="8" t="inlineStr">
        <is>
          <t>flowa.jpg</t>
        </is>
      </c>
      <c r="H33" s="8" t="inlineStr">
        <is>
          <t>アルミデッキ 三協アルミ フロワ</t>
        </is>
      </c>
      <c r="I33" s="8" t="inlineStr">
        <is>
          <t>https://alumi.st-grp.co.jp/products/deck/deck/flowa/</t>
        </is>
      </c>
      <c r="J33" s="8" t="inlineStr"/>
    </row>
    <row r="34">
      <c r="A34" s="7">
        <f>IF($B34="","",VLOOKUP($B34,設定!$A$2:$B$13,2,FALSE)&amp;"-"&amp;TEXT(COUNTIF($B$2:$B34,$B34),"00"))</f>
        <v/>
      </c>
      <c r="B34" s="8" t="inlineStr">
        <is>
          <t>デッキ</t>
        </is>
      </c>
      <c r="C34" s="8" t="inlineStr">
        <is>
          <t>三協アルミ</t>
        </is>
      </c>
      <c r="D34" s="8" t="inlineStr"/>
      <c r="E34" s="8" t="inlineStr">
        <is>
          <t>ヴィラウッド</t>
        </is>
      </c>
      <c r="F34" s="8" t="inlineStr">
        <is>
          <t>天然木の温もりのある風合いを再現しつつ、耐候性・耐久性に優れ、メンテナンスが容易な人工木デッキ。</t>
        </is>
      </c>
      <c r="G34" s="8" t="inlineStr">
        <is>
          <t>villawood.jpg</t>
        </is>
      </c>
      <c r="H34" s="8" t="inlineStr">
        <is>
          <t>人工木デッキ 三協アルミ ヴィラウッド</t>
        </is>
      </c>
      <c r="I34" s="8" t="inlineStr">
        <is>
          <t>https://alumi.st-grp.co.jp/products/deck/villawood_special/?s=story</t>
        </is>
      </c>
      <c r="J34" s="8" t="inlineStr"/>
    </row>
    <row r="35">
      <c r="A35" s="7">
        <f>IF($B35="","",VLOOKUP($B35,設定!$A$2:$B$13,2,FALSE)&amp;"-"&amp;TEXT(COUNTIF($B$2:$B35,$B35),"00"))</f>
        <v/>
      </c>
      <c r="B35" s="8" t="inlineStr">
        <is>
          <t>照明</t>
        </is>
      </c>
      <c r="C35" s="8" t="inlineStr">
        <is>
          <t>LIXIL</t>
        </is>
      </c>
      <c r="D35" s="8" t="inlineStr"/>
      <c r="E35" s="8" t="inlineStr">
        <is>
          <t>美彩 グランドライト GND-G1型 45°</t>
        </is>
      </c>
      <c r="F35" s="8" t="inlineStr">
        <is>
          <t>地中に埋設してアイポイントとしての使用から、壁面を照射して光のデザインまで楽しめる照明。</t>
        </is>
      </c>
      <c r="G35" s="8" t="inlineStr">
        <is>
          <t>lixilgrandlight.jpg</t>
        </is>
      </c>
      <c r="H35" s="8" t="inlineStr">
        <is>
          <t>12Vライト LIXIL グランドライト GND-G2型 45° 美彩</t>
        </is>
      </c>
      <c r="I35" s="8" t="inlineStr"/>
      <c r="J35" s="8" t="inlineStr"/>
    </row>
    <row r="36">
      <c r="A36" s="7">
        <f>IF($B36="","",VLOOKUP($B36,設定!$A$2:$B$13,2,FALSE)&amp;"-"&amp;TEXT(COUNTIF($B$2:$B36,$B36),"00"))</f>
        <v/>
      </c>
      <c r="B36" s="8" t="inlineStr">
        <is>
          <t>照明</t>
        </is>
      </c>
      <c r="C36" s="8" t="inlineStr">
        <is>
          <t>LIXIL</t>
        </is>
      </c>
      <c r="D36" s="8" t="inlineStr"/>
      <c r="E36" s="8" t="inlineStr">
        <is>
          <t>美彩 スパイクスポットライト  SSP-G1型 45°</t>
        </is>
      </c>
      <c r="F36" s="8" t="inlineStr">
        <is>
          <t>コンパクトでもパワフルな明るさで、シンボルツリーのライトアップに最適な灯り。</t>
        </is>
      </c>
      <c r="G36" s="8" t="inlineStr">
        <is>
          <t>lixilspotlight.jpg</t>
        </is>
      </c>
      <c r="H36" s="8" t="inlineStr">
        <is>
          <t>12Vライト LIXIL スポットライト SP-G2型 45°</t>
        </is>
      </c>
      <c r="I36" s="8" t="inlineStr"/>
      <c r="J36" s="8" t="inlineStr"/>
    </row>
    <row r="37">
      <c r="A37" s="7">
        <f>IF($B37="","",VLOOKUP($B37,設定!$A$2:$B$13,2,FALSE)&amp;"-"&amp;TEXT(COUNTIF($B$2:$B37,$B37),"00"))</f>
        <v/>
      </c>
      <c r="B37" s="8" t="inlineStr">
        <is>
          <t>照明</t>
        </is>
      </c>
      <c r="C37" s="8" t="inlineStr">
        <is>
          <t>LIXIL</t>
        </is>
      </c>
      <c r="D37" s="8" t="inlineStr"/>
      <c r="E37" s="8" t="inlineStr">
        <is>
          <t>美彩 ウォールバーライト SWB-L80型/WB-L80型</t>
        </is>
      </c>
      <c r="F37" s="8" t="inlineStr">
        <is>
          <t>バー状のライトでタイルや塗り壁を下から照らして、凹凸の陰影を浮かび上がらせる照明。</t>
        </is>
      </c>
      <c r="G37" s="8" t="inlineStr">
        <is>
          <t>lixilwallbarlight.jpg</t>
        </is>
      </c>
      <c r="H37" s="8" t="inlineStr">
        <is>
          <t>LIXIL ウォールバーライト 12V SWB-L80型/WB-L80型 美彩</t>
        </is>
      </c>
      <c r="I37" s="8" t="inlineStr"/>
      <c r="J37" s="8" t="inlineStr"/>
    </row>
    <row r="38">
      <c r="A38" s="7">
        <f>IF($B38="","",VLOOKUP($B38,設定!$A$2:$B$13,2,FALSE)&amp;"-"&amp;TEXT(COUNTIF($B$2:$B38,$B38),"00"))</f>
        <v/>
      </c>
      <c r="B38" s="8" t="inlineStr">
        <is>
          <t>照明</t>
        </is>
      </c>
      <c r="C38" s="8" t="inlineStr">
        <is>
          <t>LIXIL</t>
        </is>
      </c>
      <c r="D38" s="8" t="inlineStr"/>
      <c r="E38" s="8" t="inlineStr">
        <is>
          <t>美彩 ローポールライト 丸形/角型</t>
        </is>
      </c>
      <c r="F38" s="8" t="inlineStr">
        <is>
          <t>スリムで美しいデザインが外構に馴染み、夜に煌めくガラスの灯りがアプローチを華やかに演出。</t>
        </is>
      </c>
      <c r="G38" s="8" t="inlineStr">
        <is>
          <t>lixillowpolelight.jpg</t>
        </is>
      </c>
      <c r="H38" s="8" t="inlineStr">
        <is>
          <t>ローポールライト 透過型 角型 12V 美彩</t>
        </is>
      </c>
      <c r="I38" s="8" t="inlineStr"/>
      <c r="J38" s="8" t="inlineStr"/>
    </row>
    <row r="39">
      <c r="A39" s="7">
        <f>IF($B39="","",VLOOKUP($B39,設定!$A$2:$B$13,2,FALSE)&amp;"-"&amp;TEXT(COUNTIF($B$2:$B39,$B39),"00"))</f>
        <v/>
      </c>
      <c r="B39" s="8" t="inlineStr">
        <is>
          <t>照明</t>
        </is>
      </c>
      <c r="C39" s="8" t="inlineStr">
        <is>
          <t>Panasonic</t>
        </is>
      </c>
      <c r="D39" s="8" t="inlineStr"/>
      <c r="E39" s="8" t="inlineStr">
        <is>
          <t>美ルック 全般拡散 110lmタイプ</t>
        </is>
      </c>
      <c r="F39" s="8" t="inlineStr">
        <is>
          <t>ガラス製のカバーで光が優しく拡散。明るさを広げながら、エクステリアのアクセントに。</t>
        </is>
      </c>
      <c r="G39" s="8" t="inlineStr">
        <is>
          <t>panadiffuselight.jpg</t>
        </is>
      </c>
      <c r="H39" s="8" t="inlineStr">
        <is>
          <t>100Vライト パナソニック 美ルック 全般拡散</t>
        </is>
      </c>
      <c r="I39" s="8" t="inlineStr"/>
      <c r="J39" s="8" t="inlineStr"/>
    </row>
    <row r="40">
      <c r="A40" s="7">
        <f>IF($B40="","",VLOOKUP($B40,設定!$A$2:$B$13,2,FALSE)&amp;"-"&amp;TEXT(COUNTIF($B$2:$B40,$B40),"00"))</f>
        <v/>
      </c>
      <c r="B40" s="8" t="inlineStr">
        <is>
          <t>照明</t>
        </is>
      </c>
      <c r="C40" s="8" t="inlineStr">
        <is>
          <t>Panasonic</t>
        </is>
      </c>
      <c r="D40" s="8" t="inlineStr"/>
      <c r="E40" s="8" t="inlineStr">
        <is>
          <t>美ルック 上方配光 150lmタイプ</t>
        </is>
      </c>
      <c r="F40" s="8" t="inlineStr">
        <is>
          <t>壁面に美しいスカラップを描き、メリハリのある空間をつくります。植栽のライトアップにも。</t>
        </is>
      </c>
      <c r="G40" s="8" t="inlineStr">
        <is>
          <t>panaindirectlight.jpg</t>
        </is>
      </c>
      <c r="H40" s="8" t="inlineStr">
        <is>
          <t>100Vライト パナソニック 美ルック 上方配光</t>
        </is>
      </c>
      <c r="I40" s="8" t="inlineStr"/>
      <c r="J40" s="8" t="inlineStr"/>
    </row>
    <row r="41">
      <c r="A41" s="7">
        <f>IF($B41="","",VLOOKUP($B41,設定!$A$2:$B$13,2,FALSE)&amp;"-"&amp;TEXT(COUNTIF($B$2:$B41,$B41),"00"))</f>
        <v/>
      </c>
      <c r="B41" s="8" t="inlineStr">
        <is>
          <t>照明</t>
        </is>
      </c>
      <c r="C41" s="8" t="inlineStr">
        <is>
          <t>Panasonic</t>
        </is>
      </c>
      <c r="D41" s="8" t="inlineStr"/>
      <c r="E41" s="8" t="inlineStr">
        <is>
          <t>美ルック 下方配光 150lmタイプ</t>
        </is>
      </c>
      <c r="F41" s="8" t="inlineStr">
        <is>
          <t>足元灯として。光源が直接視界に入らないので、まぶしさが軽減されます。</t>
        </is>
      </c>
      <c r="G41" s="8" t="inlineStr">
        <is>
          <t>panadirectlight.jpg</t>
        </is>
      </c>
      <c r="H41" s="8" t="inlineStr">
        <is>
          <t>100Vライト パナソニック 下方拡散 SLW45830 SLW45831</t>
        </is>
      </c>
      <c r="I41" s="8" t="inlineStr"/>
      <c r="J41" s="8" t="inlineStr"/>
    </row>
    <row r="42">
      <c r="A42" s="7">
        <f>IF($B42="","",VLOOKUP($B42,設定!$A$2:$B$13,2,FALSE)&amp;"-"&amp;TEXT(COUNTIF($B$2:$B42,$B42),"00"))</f>
        <v/>
      </c>
      <c r="B42" s="8" t="inlineStr">
        <is>
          <t>照明</t>
        </is>
      </c>
      <c r="C42" s="8" t="inlineStr">
        <is>
          <t>Panasonic</t>
        </is>
      </c>
      <c r="D42" s="8" t="inlineStr"/>
      <c r="E42" s="8" t="inlineStr">
        <is>
          <t>スポットライト（スパイクタイプ）</t>
        </is>
      </c>
      <c r="F42" s="8" t="inlineStr">
        <is>
          <t>スリム＆シンプルで、夜間はもちろん昼間でも存在を主張しないデザイン。</t>
        </is>
      </c>
      <c r="G42" s="8" t="inlineStr">
        <is>
          <t>panaspotlight.jpg</t>
        </is>
      </c>
      <c r="H42" s="8" t="inlineStr">
        <is>
          <t>LED パナソニック スポットライト LGW40080 LGW40081 LGW40090 LGW40091 LGW40260 LGW40261</t>
        </is>
      </c>
      <c r="I42" s="8" t="inlineStr"/>
      <c r="J42" s="8" t="inlineStr"/>
    </row>
    <row r="43">
      <c r="A43" s="7">
        <f>IF($B43="","",VLOOKUP($B43,設定!$A$2:$B$13,2,FALSE)&amp;"-"&amp;TEXT(COUNTIF($B$2:$B43,$B43),"00"))</f>
        <v/>
      </c>
      <c r="B43" s="8" t="inlineStr">
        <is>
          <t>照明</t>
        </is>
      </c>
      <c r="C43" s="8" t="inlineStr">
        <is>
          <t>Panasonic</t>
        </is>
      </c>
      <c r="D43" s="8" t="inlineStr"/>
      <c r="E43" s="8" t="inlineStr">
        <is>
          <t>エントランスライト 遮光タイプ</t>
        </is>
      </c>
      <c r="F43" s="8" t="inlineStr">
        <is>
          <t>遮光版を発光面の頭部に取り付け、歩行者への眩しさに配慮しています。</t>
        </is>
      </c>
      <c r="G43" s="8" t="inlineStr">
        <is>
          <t>panagardenlight.jpg</t>
        </is>
      </c>
      <c r="H43" s="8" t="inlineStr">
        <is>
          <t>LED パナソニック ガーデンローポールライト</t>
        </is>
      </c>
      <c r="I43" s="8" t="inlineStr"/>
      <c r="J43" s="8" t="inlineStr"/>
    </row>
    <row r="44">
      <c r="A44" s="7">
        <f>IF($B44="","",VLOOKUP($B44,設定!$A$2:$B$13,2,FALSE)&amp;"-"&amp;TEXT(COUNTIF($B$2:$B44,$B44),"00"))</f>
        <v/>
      </c>
      <c r="B44" s="8" t="inlineStr">
        <is>
          <t>表札</t>
        </is>
      </c>
      <c r="C44" s="8" t="inlineStr">
        <is>
          <t>丸三タカギ</t>
        </is>
      </c>
      <c r="D44" s="8" t="inlineStr"/>
      <c r="E44" s="8" t="inlineStr">
        <is>
          <t>アルキア・シャープ</t>
        </is>
      </c>
      <c r="F44" s="8" t="inlineStr">
        <is>
          <t>アクセントラインにサインと照明を融合。機能的で繊細な造形が新しいエクステリアシーンを与えます。</t>
        </is>
      </c>
      <c r="G44" s="8" t="inlineStr">
        <is>
          <t>arxiasharp.jpg</t>
        </is>
      </c>
      <c r="H44" s="8" t="inlineStr">
        <is>
          <t>表札 丸三タカギ アルキア・シャープ</t>
        </is>
      </c>
      <c r="I44" s="8" t="inlineStr"/>
      <c r="J44" s="8" t="inlineStr"/>
    </row>
    <row r="45">
      <c r="A45" s="7">
        <f>IF($B45="","",VLOOKUP($B45,設定!$A$2:$B$13,2,FALSE)&amp;"-"&amp;TEXT(COUNTIF($B$2:$B45,$B45),"00"))</f>
        <v/>
      </c>
      <c r="B45" s="8" t="inlineStr">
        <is>
          <t>表札</t>
        </is>
      </c>
      <c r="C45" s="8" t="inlineStr">
        <is>
          <t>丸三タカギ</t>
        </is>
      </c>
      <c r="D45" s="8" t="inlineStr"/>
      <c r="E45" s="8" t="inlineStr">
        <is>
          <t>フレイミックス-L</t>
        </is>
      </c>
      <c r="F45" s="8" t="inlineStr">
        <is>
          <t>L型スタイルが奥へとさりげなく誘う。様々な空間に融合しやすいシンプルさに、凛とした雰囲気も与えるフレームサイン。</t>
        </is>
      </c>
      <c r="G45" s="8" t="inlineStr">
        <is>
          <t>framixl.jpg</t>
        </is>
      </c>
      <c r="H45" s="8" t="inlineStr">
        <is>
          <t>表札 丸三タカギ フレイミックス-L</t>
        </is>
      </c>
      <c r="I45" s="8" t="inlineStr"/>
      <c r="J45" s="8" t="inlineStr"/>
    </row>
    <row r="46">
      <c r="A46" s="7">
        <f>IF($B46="","",VLOOKUP($B46,設定!$A$2:$B$13,2,FALSE)&amp;"-"&amp;TEXT(COUNTIF($B$2:$B46,$B46),"00"))</f>
        <v/>
      </c>
      <c r="B46" s="8" t="inlineStr">
        <is>
          <t>表札</t>
        </is>
      </c>
      <c r="C46" s="8" t="inlineStr">
        <is>
          <t>丸三タカギ</t>
        </is>
      </c>
      <c r="D46" s="8" t="inlineStr"/>
      <c r="E46" s="8" t="inlineStr">
        <is>
          <t>エルカバー</t>
        </is>
      </c>
      <c r="F46" s="8" t="inlineStr">
        <is>
          <t>門壁を引き立てるデザインパーツとしても機能するL型インターホンカバー。豊富な開口パターンで大型子機にも対応可能。</t>
        </is>
      </c>
      <c r="G46" s="8" t="inlineStr">
        <is>
          <t>elcover.jpg</t>
        </is>
      </c>
      <c r="H46" s="8" t="inlineStr">
        <is>
          <t>表札 丸三タカギ エルカバー</t>
        </is>
      </c>
      <c r="I46" s="8" t="inlineStr"/>
      <c r="J46" s="8" t="inlineStr"/>
    </row>
    <row r="47">
      <c r="A47" s="7">
        <f>IF($B47="","",VLOOKUP($B47,設定!$A$2:$B$13,2,FALSE)&amp;"-"&amp;TEXT(COUNTIF($B$2:$B47,$B47),"00"))</f>
        <v/>
      </c>
      <c r="B47" s="8" t="inlineStr">
        <is>
          <t>表札</t>
        </is>
      </c>
      <c r="C47" s="8" t="inlineStr">
        <is>
          <t>丸三タカギ</t>
        </is>
      </c>
      <c r="D47" s="8" t="inlineStr"/>
      <c r="E47" s="8" t="inlineStr">
        <is>
          <t>アムドL</t>
        </is>
      </c>
      <c r="F47" s="8" t="inlineStr">
        <is>
          <t>風格漂うデザインカバーで表札とインターホンをスマートにまとめた、ここだけの玄関ユニット。</t>
        </is>
      </c>
      <c r="G47" s="8" t="inlineStr">
        <is>
          <t>armdl.jpg</t>
        </is>
      </c>
      <c r="H47" s="8" t="inlineStr">
        <is>
          <t>表札 丸三タカギ アムドL</t>
        </is>
      </c>
      <c r="I47" s="8" t="inlineStr"/>
      <c r="J47" s="8" t="inlineStr"/>
    </row>
    <row r="48">
      <c r="A48" s="7">
        <f>IF($B48="","",VLOOKUP($B48,設定!$A$2:$B$13,2,FALSE)&amp;"-"&amp;TEXT(COUNTIF($B$2:$B48,$B48),"00"))</f>
        <v/>
      </c>
      <c r="B48" s="8" t="inlineStr">
        <is>
          <t>表札</t>
        </is>
      </c>
      <c r="C48" s="8" t="inlineStr">
        <is>
          <t>丸三タカギ</t>
        </is>
      </c>
      <c r="D48" s="8" t="inlineStr"/>
      <c r="E48" s="8" t="inlineStr">
        <is>
          <t>ワンダーワード</t>
        </is>
      </c>
      <c r="F48" s="8" t="inlineStr">
        <is>
          <t>新しい家に今までにない文字サインを。ファッション性の高い、趣のある個性的な手書き風書体。</t>
        </is>
      </c>
      <c r="G48" s="8" t="inlineStr">
        <is>
          <t>wonderword.jpg</t>
        </is>
      </c>
      <c r="H48" s="8" t="inlineStr">
        <is>
          <t>表札 丸三タカギ ワンダーワード</t>
        </is>
      </c>
      <c r="I48" s="8" t="inlineStr"/>
      <c r="J48" s="8" t="inlineStr"/>
    </row>
    <row r="49">
      <c r="A49" s="7">
        <f>IF($B49="","",VLOOKUP($B49,設定!$A$2:$B$13,2,FALSE)&amp;"-"&amp;TEXT(COUNTIF($B$2:$B49,$B49),"00"))</f>
        <v/>
      </c>
      <c r="B49" s="8" t="inlineStr">
        <is>
          <t>表札</t>
        </is>
      </c>
      <c r="C49" s="8" t="inlineStr">
        <is>
          <t>丸三タカギ</t>
        </is>
      </c>
      <c r="D49" s="8" t="inlineStr"/>
      <c r="E49" s="8" t="inlineStr">
        <is>
          <t>ワンダーワード2</t>
        </is>
      </c>
      <c r="F49" s="8" t="inlineStr">
        <is>
          <t>綿菓子のような柔らかい印象のオリジナル書体。手書き風の切り文字サインです。</t>
        </is>
      </c>
      <c r="G49" s="8" t="inlineStr">
        <is>
          <t>wonderword2.jpg</t>
        </is>
      </c>
      <c r="H49" s="8" t="inlineStr">
        <is>
          <t>表札 丸三タカギ ワンダーワード2</t>
        </is>
      </c>
      <c r="I49" s="8" t="inlineStr"/>
      <c r="J49" s="8" t="inlineStr"/>
    </row>
    <row r="50">
      <c r="A50" s="7">
        <f>IF($B50="","",VLOOKUP($B50,設定!$A$2:$B$13,2,FALSE)&amp;"-"&amp;TEXT(COUNTIF($B$2:$B50,$B50),"00"))</f>
        <v/>
      </c>
      <c r="B50" s="8" t="inlineStr">
        <is>
          <t>表札</t>
        </is>
      </c>
      <c r="C50" s="8" t="inlineStr">
        <is>
          <t>丸三タカギ</t>
        </is>
      </c>
      <c r="D50" s="8" t="inlineStr"/>
      <c r="E50" s="8" t="inlineStr">
        <is>
          <t>レリエフ</t>
        </is>
      </c>
      <c r="F50" s="8" t="inlineStr">
        <is>
          <t>緻密なレリーフがあしらわれたバータイプの切り文字。シンプルな佇まいに、さりげない上質感をプラス。</t>
        </is>
      </c>
      <c r="G50" s="8" t="inlineStr">
        <is>
          <t>relief.jpg</t>
        </is>
      </c>
      <c r="H50" s="8" t="inlineStr">
        <is>
          <t>表札 丸三タカギ レリエフ</t>
        </is>
      </c>
      <c r="I50" s="8" t="inlineStr"/>
      <c r="J50" s="8" t="inlineStr"/>
    </row>
    <row r="51">
      <c r="A51" s="7">
        <f>IF($B51="","",VLOOKUP($B51,設定!$A$2:$B$13,2,FALSE)&amp;"-"&amp;TEXT(COUNTIF($B$2:$B51,$B51),"00"))</f>
        <v/>
      </c>
      <c r="B51" s="8" t="inlineStr">
        <is>
          <t>表札</t>
        </is>
      </c>
      <c r="C51" s="8" t="inlineStr">
        <is>
          <t>丸三タカギ</t>
        </is>
      </c>
      <c r="D51" s="8" t="inlineStr"/>
      <c r="E51" s="8" t="inlineStr">
        <is>
          <t>カルマート</t>
        </is>
      </c>
      <c r="F51" s="8" t="inlineStr">
        <is>
          <t>シンプルな直線のフォルムが空間を引き立て、あらゆるテイストのファサードにマッチします。</t>
        </is>
      </c>
      <c r="G51" s="8" t="inlineStr">
        <is>
          <t>calmato.jpg</t>
        </is>
      </c>
      <c r="H51" s="8" t="inlineStr">
        <is>
          <t>表札 丸三タカギ カルマート</t>
        </is>
      </c>
      <c r="I51" s="8" t="inlineStr"/>
      <c r="J51" s="8" t="inlineStr"/>
    </row>
    <row r="52">
      <c r="A52" s="7">
        <f>IF($B52="","",VLOOKUP($B52,設定!$A$2:$B$13,2,FALSE)&amp;"-"&amp;TEXT(COUNTIF($B$2:$B52,$B52),"00"))</f>
        <v/>
      </c>
      <c r="B52" s="8" t="inlineStr">
        <is>
          <t>表札</t>
        </is>
      </c>
      <c r="C52" s="8" t="inlineStr">
        <is>
          <t>丸三タカギ</t>
        </is>
      </c>
      <c r="D52" s="8" t="inlineStr"/>
      <c r="E52" s="8" t="inlineStr">
        <is>
          <t>ファクティス</t>
        </is>
      </c>
      <c r="F52" s="8" t="inlineStr">
        <is>
          <t>真鍮の鋳物をイメージした重厚感ある人工大理石製のサイン。浮かし彫りが立体感を演出します。</t>
        </is>
      </c>
      <c r="G52" s="8" t="inlineStr">
        <is>
          <t>factice.jpg</t>
        </is>
      </c>
      <c r="H52" s="8" t="inlineStr">
        <is>
          <t>表札 丸三タカギ ファクティス</t>
        </is>
      </c>
      <c r="I52" s="8" t="inlineStr"/>
      <c r="J52" s="8" t="inlineStr"/>
    </row>
    <row r="53">
      <c r="A53" s="7">
        <f>IF($B53="","",VLOOKUP($B53,設定!$A$2:$B$13,2,FALSE)&amp;"-"&amp;TEXT(COUNTIF($B$2:$B53,$B53),"00"))</f>
        <v/>
      </c>
      <c r="B53" s="8" t="inlineStr">
        <is>
          <t>表札</t>
        </is>
      </c>
      <c r="C53" s="8" t="inlineStr">
        <is>
          <t>丸三タカギ</t>
        </is>
      </c>
      <c r="D53" s="8" t="inlineStr"/>
      <c r="E53" s="8" t="inlineStr">
        <is>
          <t>デッサン</t>
        </is>
      </c>
      <c r="F53" s="8" t="inlineStr">
        <is>
          <t>まるで絵画のような逸品。塗装質感が際立つ抜き文字プレート型サイン。</t>
        </is>
      </c>
      <c r="G53" s="8" t="inlineStr">
        <is>
          <t>dessin.jpg</t>
        </is>
      </c>
      <c r="H53" s="8" t="inlineStr">
        <is>
          <t>表札 丸三タカギ デッサン</t>
        </is>
      </c>
      <c r="I53" s="8" t="inlineStr"/>
      <c r="J53" s="8" t="inlineStr"/>
    </row>
    <row r="54">
      <c r="A54" s="7">
        <f>IF($B54="","",VLOOKUP($B54,設定!$A$2:$B$13,2,FALSE)&amp;"-"&amp;TEXT(COUNTIF($B$2:$B54,$B54),"00"))</f>
        <v/>
      </c>
      <c r="B54" s="8" t="inlineStr">
        <is>
          <t>表札</t>
        </is>
      </c>
      <c r="C54" s="8" t="inlineStr">
        <is>
          <t>丸三タカギ</t>
        </is>
      </c>
      <c r="D54" s="8" t="inlineStr"/>
      <c r="E54" s="8" t="inlineStr">
        <is>
          <t>インゴット バー</t>
        </is>
      </c>
      <c r="F54" s="8" t="inlineStr">
        <is>
          <t>金属の塊をイメージした造形。シンプルゆえに馴染む、シンプルゆえに際立つ。相反する要素が両立し空間に深みを与える。</t>
        </is>
      </c>
      <c r="G54" s="8" t="inlineStr">
        <is>
          <t>ingotbar.jpg</t>
        </is>
      </c>
      <c r="H54" s="8" t="inlineStr">
        <is>
          <t>表札 丸三タカギ インゴット バー</t>
        </is>
      </c>
      <c r="I54" s="8" t="inlineStr"/>
      <c r="J54" s="8" t="inlineStr"/>
    </row>
    <row r="55">
      <c r="A55" s="7">
        <f>IF($B55="","",VLOOKUP($B55,設定!$A$2:$B$13,2,FALSE)&amp;"-"&amp;TEXT(COUNTIF($B$2:$B55,$B55),"00"))</f>
        <v/>
      </c>
      <c r="B55" s="8" t="inlineStr">
        <is>
          <t>表札</t>
        </is>
      </c>
      <c r="C55" s="8" t="inlineStr">
        <is>
          <t>丸三タカギ</t>
        </is>
      </c>
      <c r="D55" s="8" t="inlineStr"/>
      <c r="E55" s="8" t="inlineStr">
        <is>
          <t>ビットレター</t>
        </is>
      </c>
      <c r="F55" s="8" t="inlineStr">
        <is>
          <t>立体的に仕上げたバータイプデザイン。シンプルながらも静かな存在感を放ちます。</t>
        </is>
      </c>
      <c r="G55" s="8" t="inlineStr">
        <is>
          <t>bitletter.jpg</t>
        </is>
      </c>
      <c r="H55" s="8" t="inlineStr">
        <is>
          <t>表札 丸三タカギ ビットレター</t>
        </is>
      </c>
      <c r="I55" s="8" t="inlineStr"/>
      <c r="J55" s="8" t="inlineStr"/>
    </row>
    <row r="56">
      <c r="A56" s="7">
        <f>IF($B56="","",VLOOKUP($B56,設定!$A$2:$B$13,2,FALSE)&amp;"-"&amp;TEXT(COUNTIF($B$2:$B56,$B56),"00"))</f>
        <v/>
      </c>
      <c r="B56" s="8" t="inlineStr">
        <is>
          <t>ポスト</t>
        </is>
      </c>
      <c r="C56" s="8" t="inlineStr">
        <is>
          <t>オンリーワン</t>
        </is>
      </c>
      <c r="D56" s="8" t="inlineStr">
        <is>
          <t>蓋つきポスト</t>
        </is>
      </c>
      <c r="E56" s="8" t="inlineStr">
        <is>
          <t>パーサス プレーン</t>
        </is>
      </c>
      <c r="F56" s="8" t="inlineStr">
        <is>
          <t>価格を抑えながら、デザインと機能は進化。ダイヤル錠を見せないスッキリ美しいデザイン。</t>
        </is>
      </c>
      <c r="G56" s="8" t="inlineStr">
        <is>
          <t>pursusplain.jpg</t>
        </is>
      </c>
      <c r="H56" s="8" t="inlineStr">
        <is>
          <t>蓋つきポスト オンリーワン パーサス プレーン</t>
        </is>
      </c>
      <c r="I56" s="8" t="inlineStr"/>
      <c r="J56" s="8" t="inlineStr"/>
    </row>
    <row r="57">
      <c r="A57" s="7">
        <f>IF($B57="","",VLOOKUP($B57,設定!$A$2:$B$13,2,FALSE)&amp;"-"&amp;TEXT(COUNTIF($B$2:$B57,$B57),"00"))</f>
        <v/>
      </c>
      <c r="B57" s="8" t="inlineStr">
        <is>
          <t>ポスト</t>
        </is>
      </c>
      <c r="C57" s="8" t="inlineStr">
        <is>
          <t>ディーズガーデン</t>
        </is>
      </c>
      <c r="D57" s="8" t="inlineStr">
        <is>
          <t>蓋つきポスト</t>
        </is>
      </c>
      <c r="E57" s="8" t="inlineStr">
        <is>
          <t>アンジュ</t>
        </is>
      </c>
      <c r="F57" s="8" t="inlineStr">
        <is>
          <t>アンティークな陶器の質感で、可愛いらしいレリーフをデザイン。ナチュラルな優しくフランス雑貨を想わせます。</t>
        </is>
      </c>
      <c r="G57" s="8" t="inlineStr">
        <is>
          <t>ange.jpg</t>
        </is>
      </c>
      <c r="H57" s="8" t="inlineStr">
        <is>
          <t>蓋つきポスト ディーズガーデン アンジュ</t>
        </is>
      </c>
      <c r="I57" s="8" t="inlineStr"/>
      <c r="J57" s="8" t="inlineStr"/>
    </row>
    <row r="58">
      <c r="A58" s="7">
        <f>IF($B58="","",VLOOKUP($B58,設定!$A$2:$B$13,2,FALSE)&amp;"-"&amp;TEXT(COUNTIF($B$2:$B58,$B58),"00"))</f>
        <v/>
      </c>
      <c r="B58" s="8" t="inlineStr">
        <is>
          <t>ポスト</t>
        </is>
      </c>
      <c r="C58" s="8" t="inlineStr">
        <is>
          <t>ディーズガーデン</t>
        </is>
      </c>
      <c r="D58" s="8" t="inlineStr">
        <is>
          <t>口金ポスト</t>
        </is>
      </c>
      <c r="E58" s="8" t="inlineStr">
        <is>
          <t>アンジュ-F</t>
        </is>
      </c>
      <c r="F58" s="8" t="inlineStr">
        <is>
          <t>壁面埋め込み型の口金ポスト。フランス雑貨をイメージしたアンティークなテラコッタ風デザイン。</t>
        </is>
      </c>
      <c r="G58" s="8" t="inlineStr">
        <is>
          <t>angef.jpg</t>
        </is>
      </c>
      <c r="H58" s="8" t="inlineStr">
        <is>
          <t>口金ポスト ディーズガーデン アンジュ-F</t>
        </is>
      </c>
      <c r="I58" s="8" t="inlineStr"/>
      <c r="J58" s="8" t="inlineStr"/>
    </row>
    <row r="59">
      <c r="A59" s="7">
        <f>IF($B59="","",VLOOKUP($B59,設定!$A$2:$B$13,2,FALSE)&amp;"-"&amp;TEXT(COUNTIF($B$2:$B59,$B59),"00"))</f>
        <v/>
      </c>
      <c r="B59" s="8" t="inlineStr">
        <is>
          <t>ポスト</t>
        </is>
      </c>
      <c r="C59" s="8" t="inlineStr">
        <is>
          <t>LIXIL</t>
        </is>
      </c>
      <c r="D59" s="8" t="inlineStr">
        <is>
          <t>口金ポスト</t>
        </is>
      </c>
      <c r="E59" s="8" t="inlineStr">
        <is>
          <t>エクスポスト</t>
        </is>
      </c>
      <c r="F59" s="8" t="inlineStr">
        <is>
          <t>ボックスは容量に合わせて選べる4タイプ。口金部分が露出した壁埋め込み仕様のポストです。</t>
        </is>
      </c>
      <c r="G59" s="8" t="inlineStr">
        <is>
          <t>expost.jpg</t>
        </is>
      </c>
      <c r="H59" s="8" t="inlineStr">
        <is>
          <t>口金ポスト LIXIL エクスポスト　口金タイプ</t>
        </is>
      </c>
      <c r="I59" s="8" t="inlineStr"/>
      <c r="J59" s="8" t="inlineStr"/>
    </row>
    <row r="60">
      <c r="A60" s="7">
        <f>IF($B60="","",VLOOKUP($B60,設定!$A$2:$B$13,2,FALSE)&amp;"-"&amp;TEXT(COUNTIF($B$2:$B60,$B60),"00"))</f>
        <v/>
      </c>
      <c r="B60" s="8" t="inlineStr">
        <is>
          <t>ポスト</t>
        </is>
      </c>
      <c r="C60" s="8" t="inlineStr">
        <is>
          <t>オンリーワン</t>
        </is>
      </c>
      <c r="D60" s="8" t="inlineStr">
        <is>
          <t>独立ポスト</t>
        </is>
      </c>
      <c r="E60" s="8" t="inlineStr">
        <is>
          <t>フィールⅡ</t>
        </is>
      </c>
      <c r="F60" s="8" t="inlineStr">
        <is>
          <t>どこか懐かしさを感じる佇まいに、洗練されたフォルムが融合。エントランスをお洒落に演出します。</t>
        </is>
      </c>
      <c r="G60" s="8" t="inlineStr">
        <is>
          <t>feelⅡ.jpg</t>
        </is>
      </c>
      <c r="H60" s="8" t="inlineStr">
        <is>
          <t>独立ポスト オンリーワン フィールII</t>
        </is>
      </c>
      <c r="I60" s="8" t="inlineStr"/>
      <c r="J60" s="8" t="inlineStr"/>
    </row>
    <row r="61">
      <c r="A61" s="7">
        <f>IF($B61="","",VLOOKUP($B61,設定!$A$2:$B$13,2,FALSE)&amp;"-"&amp;TEXT(COUNTIF($B$2:$B61,$B61),"00"))</f>
        <v/>
      </c>
      <c r="B61" s="8" t="inlineStr">
        <is>
          <t>ポスト</t>
        </is>
      </c>
      <c r="C61" s="8" t="inlineStr">
        <is>
          <t>ギャザー/EXISLAND</t>
        </is>
      </c>
      <c r="D61" s="8" t="inlineStr">
        <is>
          <t>独立ポスト</t>
        </is>
      </c>
      <c r="E61" s="8" t="inlineStr">
        <is>
          <t>ボビ</t>
        </is>
      </c>
      <c r="F61" s="8" t="inlineStr">
        <is>
          <t>フィンランド生まれの郵便ポスト。個性豊かな12色が魅力。</t>
        </is>
      </c>
      <c r="G61" s="8" t="inlineStr">
        <is>
          <t>bobi.jpg</t>
        </is>
      </c>
      <c r="H61" s="8" t="inlineStr">
        <is>
          <t>独立ポスト ギャザー ボビ</t>
        </is>
      </c>
      <c r="I61" s="8" t="inlineStr"/>
      <c r="J61" s="8" t="inlineStr"/>
    </row>
    <row r="62">
      <c r="A62" s="7">
        <f>IF($B62="","",VLOOKUP($B62,設定!$A$2:$B$13,2,FALSE)&amp;"-"&amp;TEXT(COUNTIF($B$2:$B62,$B62),"00"))</f>
        <v/>
      </c>
      <c r="B62" s="8" t="inlineStr">
        <is>
          <t>ポスト</t>
        </is>
      </c>
      <c r="C62" s="8" t="inlineStr">
        <is>
          <t>ギャザー/EXISLAND</t>
        </is>
      </c>
      <c r="D62" s="8" t="inlineStr">
        <is>
          <t>宅配ポスト</t>
        </is>
      </c>
      <c r="E62" s="8" t="inlineStr">
        <is>
          <t>コンボ-F</t>
        </is>
      </c>
      <c r="F62" s="8" t="inlineStr">
        <is>
          <t>サインポストと宅配ボックスの2つの機能を、スタイリッシュなデザインに納めました。</t>
        </is>
      </c>
      <c r="G62" s="8" t="inlineStr">
        <is>
          <t>combof.jpg</t>
        </is>
      </c>
      <c r="H62" s="8" t="inlineStr">
        <is>
          <t>宅配ポスト ギャザー コンボ-エフ　エクシスランド　フェイサス</t>
        </is>
      </c>
      <c r="I62" s="8" t="inlineStr"/>
      <c r="J62" s="8" t="inlineStr"/>
    </row>
    <row r="63">
      <c r="A63" s="7">
        <f>IF($B63="","",VLOOKUP($B63,設定!$A$2:$B$13,2,FALSE)&amp;"-"&amp;TEXT(COUNTIF($B$2:$B63,$B63),"00"))</f>
        <v/>
      </c>
      <c r="B63" s="8" t="inlineStr">
        <is>
          <t>ポスト</t>
        </is>
      </c>
      <c r="C63" s="8" t="inlineStr">
        <is>
          <t>ユニソン</t>
        </is>
      </c>
      <c r="D63" s="8" t="inlineStr">
        <is>
          <t>宅配ポスト</t>
        </is>
      </c>
      <c r="E63" s="8" t="inlineStr">
        <is>
          <t>ヴィコ DB 100</t>
        </is>
      </c>
      <c r="F63" s="8" t="inlineStr">
        <is>
          <t>郵便ポストと宅配ボックスが一体化し、無駄のないシンプルさを追求したデザイン。前出し・後出しタイプが選べます。</t>
        </is>
      </c>
      <c r="G63" s="8" t="inlineStr">
        <is>
          <t>vicodb100.jpg</t>
        </is>
      </c>
      <c r="H63" s="8" t="inlineStr">
        <is>
          <t>宅配ポスト ユニソン ヴィコDB100</t>
        </is>
      </c>
      <c r="I63" s="8" t="inlineStr"/>
      <c r="J63" s="8" t="inlineStr"/>
    </row>
    <row r="64">
      <c r="A64" s="7">
        <f>IF($B64="","",VLOOKUP($B64,設定!$A$2:$B$13,2,FALSE)&amp;"-"&amp;TEXT(COUNTIF($B$2:$B64,$B64),"00"))</f>
        <v/>
      </c>
      <c r="B64" s="8" t="inlineStr">
        <is>
          <t>機能門柱</t>
        </is>
      </c>
      <c r="C64" s="8" t="inlineStr">
        <is>
          <t>ユニソン</t>
        </is>
      </c>
      <c r="D64" s="8" t="inlineStr">
        <is>
          <t>機能門柱</t>
        </is>
      </c>
      <c r="E64" s="8" t="inlineStr">
        <is>
          <t>ヴィコ DB 門柱スタンド</t>
        </is>
      </c>
      <c r="F64" s="8" t="inlineStr">
        <is>
          <t>シンプルな佇まいが美しい、ヴィコDB専用門柱スタンド。サイン・インターホン・宅配ボックスを一体にできます。</t>
        </is>
      </c>
      <c r="G64" s="8" t="inlineStr">
        <is>
          <t>vicodbgatepost.jpg</t>
        </is>
      </c>
      <c r="H64" s="8" t="inlineStr">
        <is>
          <t>機能門柱 ユニソン ヴィコ DB 門柱スタンド</t>
        </is>
      </c>
      <c r="I64" s="8" t="inlineStr"/>
      <c r="J64" s="8" t="inlineStr"/>
    </row>
    <row r="65">
      <c r="A65" s="7">
        <f>IF($B65="","",VLOOKUP($B65,設定!$A$2:$B$13,2,FALSE)&amp;"-"&amp;TEXT(COUNTIF($B$2:$B65,$B65),"00"))</f>
        <v/>
      </c>
      <c r="B65" s="8" t="inlineStr">
        <is>
          <t>機能門柱</t>
        </is>
      </c>
      <c r="C65" s="8" t="inlineStr">
        <is>
          <t>オンリーワン</t>
        </is>
      </c>
      <c r="D65" s="8" t="inlineStr">
        <is>
          <t>機能門柱</t>
        </is>
      </c>
      <c r="E65" s="8" t="inlineStr">
        <is>
          <t>ブリーゼ＆カレⅡ</t>
        </is>
      </c>
      <c r="F65" s="8" t="inlineStr">
        <is>
          <t>ポスト＆宅配ボックスを門柱にスッキリ一体化。宅配ボックスは前・後から取り出し可能で使い勝手に優れています。</t>
        </is>
      </c>
      <c r="G65" s="8" t="inlineStr">
        <is>
          <t>breezzekale.jpg</t>
        </is>
      </c>
      <c r="H65" s="8" t="inlineStr">
        <is>
          <t>機能門柱 オンリーワン ブリーゼ＆カレ</t>
        </is>
      </c>
      <c r="I65" s="8" t="inlineStr"/>
      <c r="J65" s="8" t="inlineStr"/>
    </row>
    <row r="66">
      <c r="A66" s="7">
        <f>IF($B66="","",VLOOKUP($B66,設定!$A$2:$B$13,2,FALSE)&amp;"-"&amp;TEXT(COUNTIF($B$2:$B66,$B66),"00"))</f>
        <v/>
      </c>
      <c r="B66" s="8" t="inlineStr">
        <is>
          <t>人工芝・砂利</t>
        </is>
      </c>
      <c r="C66" s="8" t="inlineStr">
        <is>
          <t>グリーンフィールド</t>
        </is>
      </c>
      <c r="D66" s="8" t="inlineStr">
        <is>
          <t>人工芝</t>
        </is>
      </c>
      <c r="E66" s="8" t="inlineStr">
        <is>
          <t>リアリーターフ</t>
        </is>
      </c>
      <c r="F66" s="8" t="inlineStr">
        <is>
          <t>一年中緑あふれる空間を、少しのメンテナンスでずっとそばに。</t>
        </is>
      </c>
      <c r="G66" s="8" t="inlineStr">
        <is>
          <t>realyturf.jpg</t>
        </is>
      </c>
      <c r="H66" s="8" t="inlineStr">
        <is>
          <t>人工芝 リアリーターフ</t>
        </is>
      </c>
      <c r="I66" s="8" t="inlineStr"/>
      <c r="J66" s="8" t="inlineStr"/>
    </row>
    <row r="67">
      <c r="A67" s="7">
        <f>IF($B67="","",VLOOKUP($B67,設定!$A$2:$B$13,2,FALSE)&amp;"-"&amp;TEXT(COUNTIF($B$2:$B67,$B67),"00"))</f>
        <v/>
      </c>
      <c r="B67" s="8" t="inlineStr">
        <is>
          <t>人工芝・砂利</t>
        </is>
      </c>
      <c r="C67" s="8" t="inlineStr">
        <is>
          <t>ヨシミツ毛織株式会社</t>
        </is>
      </c>
      <c r="D67" s="8" t="inlineStr">
        <is>
          <t>人工芝</t>
        </is>
      </c>
      <c r="E67" s="8" t="inlineStr">
        <is>
          <t>GFターフ</t>
        </is>
      </c>
      <c r="F67" s="8" t="inlineStr">
        <is>
          <t>国産カーペットメーカーが手掛けた天然芝そっくりの人工芝。</t>
        </is>
      </c>
      <c r="G67" s="8" t="inlineStr">
        <is>
          <t>stargrass.jpg</t>
        </is>
      </c>
      <c r="H67" s="8" t="inlineStr">
        <is>
          <t>人工芝 GFターフ</t>
        </is>
      </c>
      <c r="I67" s="8" t="inlineStr"/>
      <c r="J67" s="8" t="inlineStr"/>
    </row>
    <row r="68">
      <c r="A68" s="7">
        <f>IF($B68="","",VLOOKUP($B68,設定!$A$2:$B$13,2,FALSE)&amp;"-"&amp;TEXT(COUNTIF($B$2:$B68,$B68),"00"))</f>
        <v/>
      </c>
      <c r="B68" s="8" t="inlineStr">
        <is>
          <t>人工芝・砂利</t>
        </is>
      </c>
      <c r="C68" s="8" t="inlineStr">
        <is>
          <t>東洋工業</t>
        </is>
      </c>
      <c r="D68" s="8" t="inlineStr">
        <is>
          <t>砂利</t>
        </is>
      </c>
      <c r="E68" s="8" t="inlineStr">
        <is>
          <t>和石</t>
        </is>
      </c>
      <c r="F68" s="8" t="inlineStr">
        <is>
          <t>国産自然石のシックな味わい。豊富なサイズ展開で、使い方が広がります。</t>
        </is>
      </c>
      <c r="G68" s="8" t="inlineStr">
        <is>
          <t>nagomiisi.jpg</t>
        </is>
      </c>
      <c r="H68" s="8" t="inlineStr">
        <is>
          <t>砂利 東洋工業 和石 なごみいし</t>
        </is>
      </c>
      <c r="I68" s="8" t="inlineStr"/>
      <c r="J68" s="8" t="inlineStr"/>
    </row>
    <row r="69">
      <c r="A69" s="7">
        <f>IF($B69="","",VLOOKUP($B69,設定!$A$2:$B$13,2,FALSE)&amp;"-"&amp;TEXT(COUNTIF($B$2:$B69,$B69),"00"))</f>
        <v/>
      </c>
      <c r="B69" s="8" t="inlineStr">
        <is>
          <t>人工芝・砂利</t>
        </is>
      </c>
      <c r="C69" s="8" t="inlineStr">
        <is>
          <t>メイクランド</t>
        </is>
      </c>
      <c r="D69" s="8" t="inlineStr">
        <is>
          <t>砂利</t>
        </is>
      </c>
      <c r="E69" s="8" t="inlineStr">
        <is>
          <t>防犯砂利</t>
        </is>
      </c>
      <c r="F69" s="8" t="inlineStr">
        <is>
          <t>砂利を敷くだけ簡単防犯。発生する音の大きさは、チャートレッド、チャートブラウンが約67dB、その他は72dBです。</t>
        </is>
      </c>
      <c r="G69" s="8" t="inlineStr">
        <is>
          <t>securitygravel.jpg</t>
        </is>
      </c>
      <c r="H69" s="8" t="inlineStr">
        <is>
          <t>砂利 メイクランド 防犯砂利</t>
        </is>
      </c>
      <c r="I69" s="8" t="inlineStr"/>
      <c r="J69" s="8" t="inlineStr"/>
    </row>
    <row r="70">
      <c r="A70" s="7">
        <f>IF($B70="","",VLOOKUP($B70,設定!$A$2:$B$13,2,FALSE)&amp;"-"&amp;TEXT(COUNTIF($B$2:$B70,$B70),"00"))</f>
        <v/>
      </c>
      <c r="B70" s="8" t="inlineStr">
        <is>
          <t>人工芝・砂利</t>
        </is>
      </c>
      <c r="C70" s="8" t="inlineStr">
        <is>
          <t>EXISLAND</t>
        </is>
      </c>
      <c r="D70" s="8" t="inlineStr">
        <is>
          <t>砂利</t>
        </is>
      </c>
      <c r="E70" s="8" t="inlineStr">
        <is>
          <t>クラッシュチップ</t>
        </is>
      </c>
      <c r="F70" s="8" t="inlineStr">
        <is>
          <t>レンガを砕いてチップ状にした温かみのある風合い。防犯対策はもちろん保水性・通気性にも優れ環境に優しい砂利。</t>
        </is>
      </c>
      <c r="G70" s="8" t="inlineStr">
        <is>
          <t>crashchip.jpg</t>
        </is>
      </c>
      <c r="H70" s="8" t="inlineStr">
        <is>
          <t>袋物砂利 メイクランド 防犯砂利</t>
        </is>
      </c>
      <c r="I70" s="8" t="inlineStr"/>
      <c r="J70" s="8" t="inlineStr"/>
    </row>
    <row r="71">
      <c r="A71" s="7">
        <f>IF($B71="","",VLOOKUP($B71,設定!$A$2:$B$13,2,FALSE)&amp;"-"&amp;TEXT(COUNTIF($B$2:$B71,$B71),"00"))</f>
        <v/>
      </c>
      <c r="B71" s="8" t="inlineStr">
        <is>
          <t>立水栓</t>
        </is>
      </c>
      <c r="C71" s="8" t="inlineStr">
        <is>
          <t>オンリーワンクラブ</t>
        </is>
      </c>
      <c r="D71" s="8" t="inlineStr">
        <is>
          <t>立水栓</t>
        </is>
      </c>
      <c r="E71" s="8" t="inlineStr">
        <is>
          <t>ジラーレ</t>
        </is>
      </c>
      <c r="F71" s="8" t="inlineStr">
        <is>
          <t>スリムなフォルムで360度回転する蛇口は使い勝手抜群。カラーも充実です。</t>
        </is>
      </c>
      <c r="G71" s="8" t="inlineStr">
        <is>
          <t>girare.jpg</t>
        </is>
      </c>
      <c r="H71" s="8" t="inlineStr">
        <is>
          <t>立水栓 オンリーワンクラブ ジラーレ</t>
        </is>
      </c>
      <c r="I71" s="8" t="inlineStr"/>
      <c r="J71" s="8" t="inlineStr"/>
    </row>
    <row r="72">
      <c r="A72" s="7">
        <f>IF($B72="","",VLOOKUP($B72,設定!$A$2:$B$13,2,FALSE)&amp;"-"&amp;TEXT(COUNTIF($B$2:$B72,$B72),"00"))</f>
        <v/>
      </c>
      <c r="B72" s="8" t="inlineStr">
        <is>
          <t>立水栓</t>
        </is>
      </c>
      <c r="C72" s="8" t="inlineStr">
        <is>
          <t>オンリーワンクラブ</t>
        </is>
      </c>
      <c r="D72" s="8" t="inlineStr">
        <is>
          <t>立水栓</t>
        </is>
      </c>
      <c r="E72" s="8" t="inlineStr">
        <is>
          <t>ジラーレW スワンネック</t>
        </is>
      </c>
      <c r="F72" s="8" t="inlineStr">
        <is>
          <t>大きな弧を描くスワンネックは洗い物に最適。</t>
        </is>
      </c>
      <c r="G72" s="8" t="inlineStr">
        <is>
          <t>girareswanneck.jpg</t>
        </is>
      </c>
      <c r="H72" s="8" t="inlineStr">
        <is>
          <t>立水栓 オンリーワンクラブ ジラーレW スワンネック</t>
        </is>
      </c>
      <c r="I72" s="8" t="inlineStr"/>
      <c r="J72" s="8" t="inlineStr"/>
    </row>
    <row r="73">
      <c r="A73" s="7">
        <f>IF($B73="","",VLOOKUP($B73,設定!$A$2:$B$13,2,FALSE)&amp;"-"&amp;TEXT(COUNTIF($B$2:$B73,$B73),"00"))</f>
        <v/>
      </c>
      <c r="B73" s="8" t="inlineStr">
        <is>
          <t>立水栓</t>
        </is>
      </c>
      <c r="C73" s="8" t="inlineStr">
        <is>
          <t>オンリーワンクラブ</t>
        </is>
      </c>
      <c r="D73" s="8" t="inlineStr">
        <is>
          <t>立水栓/水鉢</t>
        </is>
      </c>
      <c r="E73" s="8" t="inlineStr">
        <is>
          <t>陶器の水栓柱と水鉢</t>
        </is>
      </c>
      <c r="F73" s="8" t="inlineStr">
        <is>
          <t>陶器ならではの素材感と自然な色調が魅力。モダンにもナチュラルにも和風にも。</t>
        </is>
      </c>
      <c r="G73" s="8" t="inlineStr">
        <is>
          <t>pottery.jpg</t>
        </is>
      </c>
      <c r="H73" s="8" t="inlineStr">
        <is>
          <t xml:space="preserve">陶器の立水栓 陶器の水鉢 オンリーワンクラブ </t>
        </is>
      </c>
      <c r="I73" s="8" t="inlineStr"/>
      <c r="J73" s="8" t="inlineStr"/>
    </row>
    <row r="74">
      <c r="A74" s="7">
        <f>IF($B74="","",VLOOKUP($B74,設定!$A$2:$B$13,2,FALSE)&amp;"-"&amp;TEXT(COUNTIF($B$2:$B74,$B74),"00"))</f>
        <v/>
      </c>
      <c r="B74" s="8" t="inlineStr">
        <is>
          <t>立水栓</t>
        </is>
      </c>
      <c r="C74" s="8" t="inlineStr">
        <is>
          <t>オンリーワンクラブ</t>
        </is>
      </c>
      <c r="D74" s="8" t="inlineStr">
        <is>
          <t>パン</t>
        </is>
      </c>
      <c r="E74" s="8" t="inlineStr">
        <is>
          <t>プレーンパン</t>
        </is>
      </c>
      <c r="F74" s="8" t="inlineStr">
        <is>
          <t>シンプルなデザインはお庭に合わせて選べる３タイプ。</t>
        </is>
      </c>
      <c r="G74" s="8" t="inlineStr">
        <is>
          <t>plainpan.jpg</t>
        </is>
      </c>
      <c r="H74" s="8" t="inlineStr">
        <is>
          <t>プレーンパン プレーン ドロップ エリプス オンリーワンクラブ</t>
        </is>
      </c>
      <c r="I74" s="8" t="inlineStr"/>
      <c r="J74" s="8" t="inlineStr"/>
    </row>
    <row r="75">
      <c r="A75" s="7">
        <f>IF($B75="","",VLOOKUP($B75,設定!$A$2:$B$13,2,FALSE)&amp;"-"&amp;TEXT(COUNTIF($B$2:$B75,$B75),"00"))</f>
        <v/>
      </c>
      <c r="B75" s="8" t="inlineStr">
        <is>
          <t>立水栓</t>
        </is>
      </c>
      <c r="C75" s="8" t="inlineStr">
        <is>
          <t>オンリーワンクラブ</t>
        </is>
      </c>
      <c r="D75" s="8" t="inlineStr">
        <is>
          <t>パン</t>
        </is>
      </c>
      <c r="E75" s="8" t="inlineStr">
        <is>
          <t>プレーンパン カレ</t>
        </is>
      </c>
      <c r="F75" s="8" t="inlineStr">
        <is>
          <t>ジラーレとアクアルージュシリーズ専用のおしゃれな手洗い器。</t>
        </is>
      </c>
      <c r="G75" s="8" t="inlineStr">
        <is>
          <t>plainpancarre.jpg</t>
        </is>
      </c>
      <c r="H75" s="8" t="inlineStr">
        <is>
          <t>ジラーレ用手洗器 プレーンパン カレ オンリーワンクラブ</t>
        </is>
      </c>
      <c r="I75" s="8" t="inlineStr"/>
      <c r="J75" s="8" t="inlineStr"/>
    </row>
    <row r="76">
      <c r="A76" s="7">
        <f>IF($B76="","",VLOOKUP($B76,設定!$A$2:$B$13,2,FALSE)&amp;"-"&amp;TEXT(COUNTIF($B$2:$B76,$B76),"00"))</f>
        <v/>
      </c>
      <c r="B76" s="8" t="inlineStr">
        <is>
          <t>立水栓</t>
        </is>
      </c>
      <c r="C76" s="8" t="inlineStr">
        <is>
          <t>オンリーワンクラブ</t>
        </is>
      </c>
      <c r="D76" s="8" t="inlineStr">
        <is>
          <t>スプリット</t>
        </is>
      </c>
      <c r="E76" s="8" t="inlineStr">
        <is>
          <t>スプリット</t>
        </is>
      </c>
      <c r="F76" s="8" t="inlineStr">
        <is>
          <t>自由にパーツを組み合わせるステンレス製ガーデンパン。</t>
        </is>
      </c>
      <c r="G76" s="8" t="inlineStr">
        <is>
          <t>splitpan.jpg</t>
        </is>
      </c>
      <c r="H76" s="8" t="inlineStr">
        <is>
          <t>スプリット オンリーワンクラブ</t>
        </is>
      </c>
      <c r="I76" s="8" t="inlineStr"/>
      <c r="J76" s="8" t="inlineStr"/>
    </row>
    <row r="77">
      <c r="A77" s="7">
        <f>IF($B77="","",VLOOKUP($B77,設定!$A$2:$B$13,2,FALSE)&amp;"-"&amp;TEXT(COUNTIF($B$2:$B77,$B77),"00"))</f>
        <v/>
      </c>
      <c r="B77" s="8" t="inlineStr">
        <is>
          <t>木製エクステリア（Gストック）</t>
        </is>
      </c>
      <c r="C77" s="8" t="inlineStr">
        <is>
          <t>G-ストック</t>
        </is>
      </c>
      <c r="D77" s="8" t="inlineStr"/>
      <c r="E77" s="8" t="inlineStr">
        <is>
          <t>木製物置・自転車小屋</t>
        </is>
      </c>
      <c r="F77" s="8" t="inlineStr">
        <is>
          <t>天然カラマツを使った木製の物置＆自転車小屋。雪に強く錆びにくいガルバリウム鋼板の折板屋根。積雪強度は150cm（450kg/㎡）まで対応。</t>
        </is>
      </c>
      <c r="G77" s="8" t="inlineStr">
        <is>
          <t>gstok_cabin.jpg</t>
        </is>
      </c>
      <c r="H77" s="8" t="inlineStr">
        <is>
          <t>G-ストック 木製キャビン</t>
        </is>
      </c>
      <c r="I77" s="8" t="inlineStr"/>
      <c r="J77" s="8" t="inlineStr"/>
    </row>
    <row r="78">
      <c r="A78" s="7">
        <f>IF($B78="","",VLOOKUP($B78,設定!$A$2:$B$13,2,FALSE)&amp;"-"&amp;TEXT(COUNTIF($B$2:$B78,$B78),"00"))</f>
        <v/>
      </c>
      <c r="B78" s="8" t="inlineStr">
        <is>
          <t>木製エクステリア（Gストック）</t>
        </is>
      </c>
      <c r="C78" s="8" t="inlineStr">
        <is>
          <t>G-ストック</t>
        </is>
      </c>
      <c r="D78" s="8" t="inlineStr"/>
      <c r="E78" s="8" t="inlineStr">
        <is>
          <t>木製カーポート</t>
        </is>
      </c>
      <c r="F78" s="8" t="inlineStr">
        <is>
          <t>天然カラマツを使った木製カーポート。雪に強く錆びにくいガルバリウム鋼板の折板屋根。積雪強度は150cm（450kg/㎡）まで対応。</t>
        </is>
      </c>
      <c r="G78" s="8" t="inlineStr">
        <is>
          <t>gstok_carport.jpg</t>
        </is>
      </c>
      <c r="H78" s="8" t="inlineStr">
        <is>
          <t>G-ストック 木製カーポート</t>
        </is>
      </c>
      <c r="I78" s="8" t="inlineStr"/>
      <c r="J78" s="8" t="inlineStr"/>
    </row>
    <row r="79">
      <c r="A79" s="7">
        <f>IF($B79="","",VLOOKUP($B79,設定!$A$2:$B$13,2,FALSE)&amp;"-"&amp;TEXT(COUNTIF($B$2:$B79,$B79),"00"))</f>
        <v/>
      </c>
      <c r="B79" s="8" t="inlineStr">
        <is>
          <t>木製エクステリア（Gストック）</t>
        </is>
      </c>
      <c r="C79" s="8" t="inlineStr">
        <is>
          <t>G-ストック</t>
        </is>
      </c>
      <c r="D79" s="8" t="inlineStr"/>
      <c r="E79" s="8" t="inlineStr">
        <is>
          <t>ルーム</t>
        </is>
      </c>
      <c r="F79" s="8" t="inlineStr">
        <is>
          <t>天然カラマツを使った木製ルーム。雪に強く錆びにくいガルバリウム鋼板の折板屋根。積雪強度は150cm（450kg/㎡）まで対応。</t>
        </is>
      </c>
      <c r="G79" s="8" t="inlineStr">
        <is>
          <t>gstok_room.jpg</t>
        </is>
      </c>
      <c r="H79" s="8" t="inlineStr">
        <is>
          <t>G-ストック 木製キャビン</t>
        </is>
      </c>
      <c r="I79" s="8" t="inlineStr"/>
      <c r="J79" s="8" t="inlineStr"/>
    </row>
    <row r="80" ht="20" customHeight="1">
      <c r="A80" s="9" t="inlineStr">
        <is>
          <t>▼ ここから新規追加 ▼</t>
        </is>
      </c>
    </row>
    <row r="81">
      <c r="A81" s="7">
        <f>IF($B81="","",VLOOKUP($B81,設定!$A$2:$B$13,2,FALSE)&amp;"-"&amp;TEXT(COUNTIF($B$2:$B81,$B81),"00"))</f>
        <v/>
      </c>
      <c r="B81" s="8" t="n"/>
      <c r="C81" s="8" t="n"/>
      <c r="D81" s="8" t="n"/>
      <c r="E81" s="8" t="n"/>
      <c r="F81" s="8" t="n"/>
      <c r="G81" s="8" t="n"/>
      <c r="H81" s="8" t="n"/>
      <c r="I81" s="8" t="n"/>
      <c r="J81" s="8" t="n"/>
    </row>
    <row r="82">
      <c r="A82" s="7">
        <f>IF($B82="","",VLOOKUP($B82,設定!$A$2:$B$13,2,FALSE)&amp;"-"&amp;TEXT(COUNTIF($B$2:$B82,$B82),"00"))</f>
        <v/>
      </c>
      <c r="B82" s="8" t="n"/>
      <c r="C82" s="8" t="n"/>
      <c r="D82" s="8" t="n"/>
      <c r="E82" s="8" t="n"/>
      <c r="F82" s="8" t="n"/>
      <c r="G82" s="8" t="n"/>
      <c r="H82" s="8" t="n"/>
      <c r="I82" s="8" t="n"/>
      <c r="J82" s="8" t="n"/>
    </row>
    <row r="83">
      <c r="A83" s="7">
        <f>IF($B83="","",VLOOKUP($B83,設定!$A$2:$B$13,2,FALSE)&amp;"-"&amp;TEXT(COUNTIF($B$2:$B83,$B83),"00"))</f>
        <v/>
      </c>
      <c r="B83" s="8" t="n"/>
      <c r="C83" s="8" t="n"/>
      <c r="D83" s="8" t="n"/>
      <c r="E83" s="8" t="n"/>
      <c r="F83" s="8" t="n"/>
      <c r="G83" s="8" t="n"/>
      <c r="H83" s="8" t="n"/>
      <c r="I83" s="8" t="n"/>
      <c r="J83" s="8" t="n"/>
    </row>
    <row r="84">
      <c r="A84" s="7">
        <f>IF($B84="","",VLOOKUP($B84,設定!$A$2:$B$13,2,FALSE)&amp;"-"&amp;TEXT(COUNTIF($B$2:$B84,$B84),"00"))</f>
        <v/>
      </c>
      <c r="B84" s="8" t="n"/>
      <c r="C84" s="8" t="n"/>
      <c r="D84" s="8" t="n"/>
      <c r="E84" s="8" t="n"/>
      <c r="F84" s="8" t="n"/>
      <c r="G84" s="8" t="n"/>
      <c r="H84" s="8" t="n"/>
      <c r="I84" s="8" t="n"/>
      <c r="J84" s="8" t="n"/>
    </row>
    <row r="85">
      <c r="A85" s="7">
        <f>IF($B85="","",VLOOKUP($B85,設定!$A$2:$B$13,2,FALSE)&amp;"-"&amp;TEXT(COUNTIF($B$2:$B85,$B85),"00"))</f>
        <v/>
      </c>
      <c r="B85" s="8" t="n"/>
      <c r="C85" s="8" t="n"/>
      <c r="D85" s="8" t="n"/>
      <c r="E85" s="8" t="n"/>
      <c r="F85" s="8" t="n"/>
      <c r="G85" s="8" t="n"/>
      <c r="H85" s="8" t="n"/>
      <c r="I85" s="8" t="n"/>
      <c r="J85" s="8" t="n"/>
    </row>
    <row r="86">
      <c r="A86" s="7">
        <f>IF($B86="","",VLOOKUP($B86,設定!$A$2:$B$13,2,FALSE)&amp;"-"&amp;TEXT(COUNTIF($B$2:$B86,$B86),"00"))</f>
        <v/>
      </c>
      <c r="B86" s="8" t="n"/>
      <c r="C86" s="8" t="n"/>
      <c r="D86" s="8" t="n"/>
      <c r="E86" s="8" t="n"/>
      <c r="F86" s="8" t="n"/>
      <c r="G86" s="8" t="n"/>
      <c r="H86" s="8" t="n"/>
      <c r="I86" s="8" t="n"/>
      <c r="J86" s="8" t="n"/>
    </row>
    <row r="87">
      <c r="A87" s="7">
        <f>IF($B87="","",VLOOKUP($B87,設定!$A$2:$B$13,2,FALSE)&amp;"-"&amp;TEXT(COUNTIF($B$2:$B87,$B87),"00"))</f>
        <v/>
      </c>
      <c r="B87" s="8" t="n"/>
      <c r="C87" s="8" t="n"/>
      <c r="D87" s="8" t="n"/>
      <c r="E87" s="8" t="n"/>
      <c r="F87" s="8" t="n"/>
      <c r="G87" s="8" t="n"/>
      <c r="H87" s="8" t="n"/>
      <c r="I87" s="8" t="n"/>
      <c r="J87" s="8" t="n"/>
    </row>
    <row r="88">
      <c r="A88" s="7">
        <f>IF($B88="","",VLOOKUP($B88,設定!$A$2:$B$13,2,FALSE)&amp;"-"&amp;TEXT(COUNTIF($B$2:$B88,$B88),"00"))</f>
        <v/>
      </c>
      <c r="B88" s="8" t="n"/>
      <c r="C88" s="8" t="n"/>
      <c r="D88" s="8" t="n"/>
      <c r="E88" s="8" t="n"/>
      <c r="F88" s="8" t="n"/>
      <c r="G88" s="8" t="n"/>
      <c r="H88" s="8" t="n"/>
      <c r="I88" s="8" t="n"/>
      <c r="J88" s="8" t="n"/>
    </row>
    <row r="89">
      <c r="A89" s="7">
        <f>IF($B89="","",VLOOKUP($B89,設定!$A$2:$B$13,2,FALSE)&amp;"-"&amp;TEXT(COUNTIF($B$2:$B89,$B89),"00"))</f>
        <v/>
      </c>
      <c r="B89" s="8" t="n"/>
      <c r="C89" s="8" t="n"/>
      <c r="D89" s="8" t="n"/>
      <c r="E89" s="8" t="n"/>
      <c r="F89" s="8" t="n"/>
      <c r="G89" s="8" t="n"/>
      <c r="H89" s="8" t="n"/>
      <c r="I89" s="8" t="n"/>
      <c r="J89" s="8" t="n"/>
    </row>
    <row r="90">
      <c r="A90" s="7">
        <f>IF($B90="","",VLOOKUP($B90,設定!$A$2:$B$13,2,FALSE)&amp;"-"&amp;TEXT(COUNTIF($B$2:$B90,$B90),"00"))</f>
        <v/>
      </c>
      <c r="B90" s="8" t="n"/>
      <c r="C90" s="8" t="n"/>
      <c r="D90" s="8" t="n"/>
      <c r="E90" s="8" t="n"/>
      <c r="F90" s="8" t="n"/>
      <c r="G90" s="8" t="n"/>
      <c r="H90" s="8" t="n"/>
      <c r="I90" s="8" t="n"/>
      <c r="J90" s="8" t="n"/>
    </row>
    <row r="91">
      <c r="A91" s="7">
        <f>IF($B91="","",VLOOKUP($B91,設定!$A$2:$B$13,2,FALSE)&amp;"-"&amp;TEXT(COUNTIF($B$2:$B91,$B91),"00"))</f>
        <v/>
      </c>
      <c r="B91" s="8" t="n"/>
      <c r="C91" s="8" t="n"/>
      <c r="D91" s="8" t="n"/>
      <c r="E91" s="8" t="n"/>
      <c r="F91" s="8" t="n"/>
      <c r="G91" s="8" t="n"/>
      <c r="H91" s="8" t="n"/>
      <c r="I91" s="8" t="n"/>
      <c r="J91" s="8" t="n"/>
    </row>
    <row r="92">
      <c r="A92" s="7">
        <f>IF($B92="","",VLOOKUP($B92,設定!$A$2:$B$13,2,FALSE)&amp;"-"&amp;TEXT(COUNTIF($B$2:$B92,$B92),"00"))</f>
        <v/>
      </c>
      <c r="B92" s="8" t="n"/>
      <c r="C92" s="8" t="n"/>
      <c r="D92" s="8" t="n"/>
      <c r="E92" s="8" t="n"/>
      <c r="F92" s="8" t="n"/>
      <c r="G92" s="8" t="n"/>
      <c r="H92" s="8" t="n"/>
      <c r="I92" s="8" t="n"/>
      <c r="J92" s="8" t="n"/>
    </row>
    <row r="93">
      <c r="A93" s="7">
        <f>IF($B93="","",VLOOKUP($B93,設定!$A$2:$B$13,2,FALSE)&amp;"-"&amp;TEXT(COUNTIF($B$2:$B93,$B93),"00"))</f>
        <v/>
      </c>
      <c r="B93" s="8" t="n"/>
      <c r="C93" s="8" t="n"/>
      <c r="D93" s="8" t="n"/>
      <c r="E93" s="8" t="n"/>
      <c r="F93" s="8" t="n"/>
      <c r="G93" s="8" t="n"/>
      <c r="H93" s="8" t="n"/>
      <c r="I93" s="8" t="n"/>
      <c r="J93" s="8" t="n"/>
    </row>
    <row r="94">
      <c r="A94" s="7">
        <f>IF($B94="","",VLOOKUP($B94,設定!$A$2:$B$13,2,FALSE)&amp;"-"&amp;TEXT(COUNTIF($B$2:$B94,$B94),"00"))</f>
        <v/>
      </c>
      <c r="B94" s="8" t="n"/>
      <c r="C94" s="8" t="n"/>
      <c r="D94" s="8" t="n"/>
      <c r="E94" s="8" t="n"/>
      <c r="F94" s="8" t="n"/>
      <c r="G94" s="8" t="n"/>
      <c r="H94" s="8" t="n"/>
      <c r="I94" s="8" t="n"/>
      <c r="J94" s="8" t="n"/>
    </row>
    <row r="95">
      <c r="A95" s="7">
        <f>IF($B95="","",VLOOKUP($B95,設定!$A$2:$B$13,2,FALSE)&amp;"-"&amp;TEXT(COUNTIF($B$2:$B95,$B95),"00"))</f>
        <v/>
      </c>
      <c r="B95" s="8" t="n"/>
      <c r="C95" s="8" t="n"/>
      <c r="D95" s="8" t="n"/>
      <c r="E95" s="8" t="n"/>
      <c r="F95" s="8" t="n"/>
      <c r="G95" s="8" t="n"/>
      <c r="H95" s="8" t="n"/>
      <c r="I95" s="8" t="n"/>
      <c r="J95" s="8" t="n"/>
    </row>
    <row r="96">
      <c r="A96" s="7">
        <f>IF($B96="","",VLOOKUP($B96,設定!$A$2:$B$13,2,FALSE)&amp;"-"&amp;TEXT(COUNTIF($B$2:$B96,$B96),"00"))</f>
        <v/>
      </c>
      <c r="B96" s="8" t="n"/>
      <c r="C96" s="8" t="n"/>
      <c r="D96" s="8" t="n"/>
      <c r="E96" s="8" t="n"/>
      <c r="F96" s="8" t="n"/>
      <c r="G96" s="8" t="n"/>
      <c r="H96" s="8" t="n"/>
      <c r="I96" s="8" t="n"/>
      <c r="J96" s="8" t="n"/>
    </row>
    <row r="97">
      <c r="A97" s="7">
        <f>IF($B97="","",VLOOKUP($B97,設定!$A$2:$B$13,2,FALSE)&amp;"-"&amp;TEXT(COUNTIF($B$2:$B97,$B97),"00"))</f>
        <v/>
      </c>
      <c r="B97" s="8" t="n"/>
      <c r="C97" s="8" t="n"/>
      <c r="D97" s="8" t="n"/>
      <c r="E97" s="8" t="n"/>
      <c r="F97" s="8" t="n"/>
      <c r="G97" s="8" t="n"/>
      <c r="H97" s="8" t="n"/>
      <c r="I97" s="8" t="n"/>
      <c r="J97" s="8" t="n"/>
    </row>
    <row r="98">
      <c r="A98" s="7">
        <f>IF($B98="","",VLOOKUP($B98,設定!$A$2:$B$13,2,FALSE)&amp;"-"&amp;TEXT(COUNTIF($B$2:$B98,$B98),"00"))</f>
        <v/>
      </c>
      <c r="B98" s="8" t="n"/>
      <c r="C98" s="8" t="n"/>
      <c r="D98" s="8" t="n"/>
      <c r="E98" s="8" t="n"/>
      <c r="F98" s="8" t="n"/>
      <c r="G98" s="8" t="n"/>
      <c r="H98" s="8" t="n"/>
      <c r="I98" s="8" t="n"/>
      <c r="J98" s="8" t="n"/>
    </row>
    <row r="99">
      <c r="A99" s="7">
        <f>IF($B99="","",VLOOKUP($B99,設定!$A$2:$B$13,2,FALSE)&amp;"-"&amp;TEXT(COUNTIF($B$2:$B99,$B99),"00"))</f>
        <v/>
      </c>
      <c r="B99" s="8" t="n"/>
      <c r="C99" s="8" t="n"/>
      <c r="D99" s="8" t="n"/>
      <c r="E99" s="8" t="n"/>
      <c r="F99" s="8" t="n"/>
      <c r="G99" s="8" t="n"/>
      <c r="H99" s="8" t="n"/>
      <c r="I99" s="8" t="n"/>
      <c r="J99" s="8" t="n"/>
    </row>
    <row r="100">
      <c r="A100" s="7">
        <f>IF($B100="","",VLOOKUP($B100,設定!$A$2:$B$13,2,FALSE)&amp;"-"&amp;TEXT(COUNTIF($B$2:$B100,$B100),"00"))</f>
        <v/>
      </c>
      <c r="B100" s="8" t="n"/>
      <c r="C100" s="8" t="n"/>
      <c r="D100" s="8" t="n"/>
      <c r="E100" s="8" t="n"/>
      <c r="F100" s="8" t="n"/>
      <c r="G100" s="8" t="n"/>
      <c r="H100" s="8" t="n"/>
      <c r="I100" s="8" t="n"/>
      <c r="J100" s="8" t="n"/>
    </row>
    <row r="101">
      <c r="A101" s="7">
        <f>IF($B101="","",VLOOKUP($B101,設定!$A$2:$B$13,2,FALSE)&amp;"-"&amp;TEXT(COUNTIF($B$2:$B101,$B101),"00"))</f>
        <v/>
      </c>
      <c r="B101" s="8" t="n"/>
      <c r="C101" s="8" t="n"/>
      <c r="D101" s="8" t="n"/>
      <c r="E101" s="8" t="n"/>
      <c r="F101" s="8" t="n"/>
      <c r="G101" s="8" t="n"/>
      <c r="H101" s="8" t="n"/>
      <c r="I101" s="8" t="n"/>
      <c r="J101" s="8" t="n"/>
    </row>
    <row r="102">
      <c r="A102" s="7">
        <f>IF($B102="","",VLOOKUP($B102,設定!$A$2:$B$13,2,FALSE)&amp;"-"&amp;TEXT(COUNTIF($B$2:$B102,$B102),"00"))</f>
        <v/>
      </c>
      <c r="B102" s="8" t="n"/>
      <c r="C102" s="8" t="n"/>
      <c r="D102" s="8" t="n"/>
      <c r="E102" s="8" t="n"/>
      <c r="F102" s="8" t="n"/>
      <c r="G102" s="8" t="n"/>
      <c r="H102" s="8" t="n"/>
      <c r="I102" s="8" t="n"/>
      <c r="J102" s="8" t="n"/>
    </row>
    <row r="103">
      <c r="A103" s="7">
        <f>IF($B103="","",VLOOKUP($B103,設定!$A$2:$B$13,2,FALSE)&amp;"-"&amp;TEXT(COUNTIF($B$2:$B103,$B103),"00"))</f>
        <v/>
      </c>
      <c r="B103" s="8" t="n"/>
      <c r="C103" s="8" t="n"/>
      <c r="D103" s="8" t="n"/>
      <c r="E103" s="8" t="n"/>
      <c r="F103" s="8" t="n"/>
      <c r="G103" s="8" t="n"/>
      <c r="H103" s="8" t="n"/>
      <c r="I103" s="8" t="n"/>
      <c r="J103" s="8" t="n"/>
    </row>
    <row r="104">
      <c r="A104" s="7">
        <f>IF($B104="","",VLOOKUP($B104,設定!$A$2:$B$13,2,FALSE)&amp;"-"&amp;TEXT(COUNTIF($B$2:$B104,$B104),"00"))</f>
        <v/>
      </c>
      <c r="B104" s="8" t="n"/>
      <c r="C104" s="8" t="n"/>
      <c r="D104" s="8" t="n"/>
      <c r="E104" s="8" t="n"/>
      <c r="F104" s="8" t="n"/>
      <c r="G104" s="8" t="n"/>
      <c r="H104" s="8" t="n"/>
      <c r="I104" s="8" t="n"/>
      <c r="J104" s="8" t="n"/>
    </row>
    <row r="105">
      <c r="A105" s="7">
        <f>IF($B105="","",VLOOKUP($B105,設定!$A$2:$B$13,2,FALSE)&amp;"-"&amp;TEXT(COUNTIF($B$2:$B105,$B105),"00"))</f>
        <v/>
      </c>
      <c r="B105" s="8" t="n"/>
      <c r="C105" s="8" t="n"/>
      <c r="D105" s="8" t="n"/>
      <c r="E105" s="8" t="n"/>
      <c r="F105" s="8" t="n"/>
      <c r="G105" s="8" t="n"/>
      <c r="H105" s="8" t="n"/>
      <c r="I105" s="8" t="n"/>
      <c r="J105" s="8" t="n"/>
    </row>
    <row r="106">
      <c r="A106" s="7">
        <f>IF($B106="","",VLOOKUP($B106,設定!$A$2:$B$13,2,FALSE)&amp;"-"&amp;TEXT(COUNTIF($B$2:$B106,$B106),"00"))</f>
        <v/>
      </c>
      <c r="B106" s="8" t="n"/>
      <c r="C106" s="8" t="n"/>
      <c r="D106" s="8" t="n"/>
      <c r="E106" s="8" t="n"/>
      <c r="F106" s="8" t="n"/>
      <c r="G106" s="8" t="n"/>
      <c r="H106" s="8" t="n"/>
      <c r="I106" s="8" t="n"/>
      <c r="J106" s="8" t="n"/>
    </row>
    <row r="107">
      <c r="A107" s="7">
        <f>IF($B107="","",VLOOKUP($B107,設定!$A$2:$B$13,2,FALSE)&amp;"-"&amp;TEXT(COUNTIF($B$2:$B107,$B107),"00"))</f>
        <v/>
      </c>
      <c r="B107" s="8" t="n"/>
      <c r="C107" s="8" t="n"/>
      <c r="D107" s="8" t="n"/>
      <c r="E107" s="8" t="n"/>
      <c r="F107" s="8" t="n"/>
      <c r="G107" s="8" t="n"/>
      <c r="H107" s="8" t="n"/>
      <c r="I107" s="8" t="n"/>
      <c r="J107" s="8" t="n"/>
    </row>
    <row r="108">
      <c r="A108" s="7">
        <f>IF($B108="","",VLOOKUP($B108,設定!$A$2:$B$13,2,FALSE)&amp;"-"&amp;TEXT(COUNTIF($B$2:$B108,$B108),"00"))</f>
        <v/>
      </c>
      <c r="B108" s="8" t="n"/>
      <c r="C108" s="8" t="n"/>
      <c r="D108" s="8" t="n"/>
      <c r="E108" s="8" t="n"/>
      <c r="F108" s="8" t="n"/>
      <c r="G108" s="8" t="n"/>
      <c r="H108" s="8" t="n"/>
      <c r="I108" s="8" t="n"/>
      <c r="J108" s="8" t="n"/>
    </row>
    <row r="109">
      <c r="A109" s="7">
        <f>IF($B109="","",VLOOKUP($B109,設定!$A$2:$B$13,2,FALSE)&amp;"-"&amp;TEXT(COUNTIF($B$2:$B109,$B109),"00"))</f>
        <v/>
      </c>
      <c r="B109" s="8" t="n"/>
      <c r="C109" s="8" t="n"/>
      <c r="D109" s="8" t="n"/>
      <c r="E109" s="8" t="n"/>
      <c r="F109" s="8" t="n"/>
      <c r="G109" s="8" t="n"/>
      <c r="H109" s="8" t="n"/>
      <c r="I109" s="8" t="n"/>
      <c r="J109" s="8" t="n"/>
    </row>
    <row r="110">
      <c r="A110" s="7">
        <f>IF($B110="","",VLOOKUP($B110,設定!$A$2:$B$13,2,FALSE)&amp;"-"&amp;TEXT(COUNTIF($B$2:$B110,$B110),"00"))</f>
        <v/>
      </c>
      <c r="B110" s="8" t="n"/>
      <c r="C110" s="8" t="n"/>
      <c r="D110" s="8" t="n"/>
      <c r="E110" s="8" t="n"/>
      <c r="F110" s="8" t="n"/>
      <c r="G110" s="8" t="n"/>
      <c r="H110" s="8" t="n"/>
      <c r="I110" s="8" t="n"/>
      <c r="J110" s="8" t="n"/>
    </row>
  </sheetData>
  <mergeCells count="1">
    <mergeCell ref="A80:J80"/>
  </mergeCells>
  <dataValidations count="3">
    <dataValidation sqref="B2:B110" showDropDown="0" showInputMessage="0" showErrorMessage="0" allowBlank="1" type="list">
      <formula1>"床材,壁材,植栽,デッキ,照明,表札,ポスト,機能門柱,人工芝・砂利,立水栓,木製エクステリア（Gストック）,デザインフェンス"</formula1>
    </dataValidation>
    <dataValidation sqref="C2:C110" showDropDown="0" showInputMessage="0" showErrorMessage="0" allowBlank="1" type="list">
      <formula1>"東洋工業,メイクランド,シンセイ福岡,メイクランド/EXISLAND,EXISLAND,アイコットリョーワ,名古屋モザイク,アイカ工業,三協アルミ,LIXIL,Panasonic,丸三タカギ,オンリーワン,ディーズガーデン,ギャザー/EXISLAND,ユニソン,グリーンフィールド,ヨシミツ毛織株式会社,オンリーワンクラブ,G-ストック"</formula1>
    </dataValidation>
    <dataValidation sqref="D2:D110" showDropDown="0" showInputMessage="0" showErrorMessage="0" allowBlank="1" type="list">
      <formula1>"インターロッキング,平板,レンガ,ピンコロ,方形自然石,乱形自然石,定形タイル,不定形タイル,塗り壁材,蓋つきポスト,口金ポスト,独立ポスト,宅配ポスト,機能門柱,人工芝,砂利,立水栓,立水栓/水鉢,パン,スプリット"</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2"/>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8" customWidth="1" min="3" max="3"/>
    <col width="26" customWidth="1" min="4" max="4"/>
    <col width="18" customWidth="1" min="5" max="5"/>
  </cols>
  <sheetData>
    <row r="1" ht="32" customHeight="1">
      <c r="A1" s="6" t="inlineStr">
        <is>
          <t>商品ID*</t>
        </is>
      </c>
      <c r="B1" s="6" t="inlineStr">
        <is>
          <t>商品名（参考）</t>
        </is>
      </c>
      <c r="C1" s="6" t="inlineStr">
        <is>
          <t>表示順</t>
        </is>
      </c>
      <c r="D1" s="6" t="inlineStr">
        <is>
          <t>カラー名</t>
        </is>
      </c>
      <c r="E1" s="6" t="inlineStr">
        <is>
          <t>カラーコード（HEX）</t>
        </is>
      </c>
    </row>
    <row r="2">
      <c r="A2" s="8" t="inlineStr">
        <is>
          <t>floor-01</t>
        </is>
      </c>
      <c r="B2" s="7">
        <f>IFERROR(VLOOKUP($A2,商品マスタ!$A:$E,5,FALSE),"")</f>
        <v/>
      </c>
      <c r="C2" s="8" t="n">
        <v>1</v>
      </c>
      <c r="D2" s="8" t="inlineStr">
        <is>
          <t>クロムグレー</t>
        </is>
      </c>
      <c r="E2" s="10" t="inlineStr">
        <is>
          <t>#b6a99a</t>
        </is>
      </c>
    </row>
    <row r="3">
      <c r="A3" s="8" t="inlineStr">
        <is>
          <t>floor-01</t>
        </is>
      </c>
      <c r="B3" s="7">
        <f>IFERROR(VLOOKUP($A3,商品マスタ!$A:$E,5,FALSE),"")</f>
        <v/>
      </c>
      <c r="C3" s="8" t="n">
        <v>2</v>
      </c>
      <c r="D3" s="8" t="inlineStr">
        <is>
          <t>ウォームグレー</t>
        </is>
      </c>
      <c r="E3" s="11" t="inlineStr">
        <is>
          <t>#c4b7af</t>
        </is>
      </c>
    </row>
    <row r="4">
      <c r="A4" s="8" t="inlineStr">
        <is>
          <t>floor-01</t>
        </is>
      </c>
      <c r="B4" s="7">
        <f>IFERROR(VLOOKUP($A4,商品マスタ!$A:$E,5,FALSE),"")</f>
        <v/>
      </c>
      <c r="C4" s="8" t="n">
        <v>3</v>
      </c>
      <c r="D4" s="8" t="inlineStr">
        <is>
          <t>ダークグレー</t>
        </is>
      </c>
      <c r="E4" s="12" t="inlineStr">
        <is>
          <t>#4b504e</t>
        </is>
      </c>
    </row>
    <row r="5">
      <c r="A5" s="8" t="inlineStr">
        <is>
          <t>floor-01</t>
        </is>
      </c>
      <c r="B5" s="7">
        <f>IFERROR(VLOOKUP($A5,商品マスタ!$A:$E,5,FALSE),"")</f>
        <v/>
      </c>
      <c r="C5" s="8" t="n">
        <v>4</v>
      </c>
      <c r="D5" s="8" t="inlineStr">
        <is>
          <t>アースベージュ</t>
        </is>
      </c>
      <c r="E5" s="13" t="inlineStr">
        <is>
          <t>#c6b89e</t>
        </is>
      </c>
    </row>
    <row r="6">
      <c r="A6" s="8" t="inlineStr">
        <is>
          <t>floor-01</t>
        </is>
      </c>
      <c r="B6" s="7">
        <f>IFERROR(VLOOKUP($A6,商品マスタ!$A:$E,5,FALSE),"")</f>
        <v/>
      </c>
      <c r="C6" s="8" t="n">
        <v>5</v>
      </c>
      <c r="D6" s="8" t="inlineStr">
        <is>
          <t>ナチュラルブラウン</t>
        </is>
      </c>
      <c r="E6" s="14" t="inlineStr">
        <is>
          <t>#9f8377</t>
        </is>
      </c>
    </row>
    <row r="7">
      <c r="A7" s="8" t="inlineStr">
        <is>
          <t>floor-01</t>
        </is>
      </c>
      <c r="B7" s="7">
        <f>IFERROR(VLOOKUP($A7,商品マスタ!$A:$E,5,FALSE),"")</f>
        <v/>
      </c>
      <c r="C7" s="8" t="n">
        <v>6</v>
      </c>
      <c r="D7" s="8" t="inlineStr">
        <is>
          <t>ロッソブラウン</t>
        </is>
      </c>
      <c r="E7" s="15" t="inlineStr">
        <is>
          <t>#6e5955</t>
        </is>
      </c>
    </row>
    <row r="8">
      <c r="A8" s="8" t="inlineStr">
        <is>
          <t>floor-02</t>
        </is>
      </c>
      <c r="B8" s="7">
        <f>IFERROR(VLOOKUP($A8,商品マスタ!$A:$E,5,FALSE),"")</f>
        <v/>
      </c>
      <c r="C8" s="8" t="n">
        <v>1</v>
      </c>
      <c r="D8" s="8" t="inlineStr">
        <is>
          <t>ポルドブラウン</t>
        </is>
      </c>
      <c r="E8" s="16" t="inlineStr">
        <is>
          <t>#aa8d7d</t>
        </is>
      </c>
    </row>
    <row r="9">
      <c r="A9" s="8" t="inlineStr">
        <is>
          <t>floor-02</t>
        </is>
      </c>
      <c r="B9" s="7">
        <f>IFERROR(VLOOKUP($A9,商品マスタ!$A:$E,5,FALSE),"")</f>
        <v/>
      </c>
      <c r="C9" s="8" t="n">
        <v>2</v>
      </c>
      <c r="D9" s="8" t="inlineStr">
        <is>
          <t>ポルドベージュ</t>
        </is>
      </c>
      <c r="E9" s="17" t="inlineStr">
        <is>
          <t>#8f7868</t>
        </is>
      </c>
    </row>
    <row r="10">
      <c r="A10" s="8" t="inlineStr">
        <is>
          <t>floor-02</t>
        </is>
      </c>
      <c r="B10" s="7">
        <f>IFERROR(VLOOKUP($A10,商品マスタ!$A:$E,5,FALSE),"")</f>
        <v/>
      </c>
      <c r="C10" s="8" t="n">
        <v>3</v>
      </c>
      <c r="D10" s="8" t="inlineStr">
        <is>
          <t>ポルドイエロー</t>
        </is>
      </c>
      <c r="E10" s="18" t="inlineStr">
        <is>
          <t>#c4ae96</t>
        </is>
      </c>
    </row>
    <row r="11">
      <c r="A11" s="8" t="inlineStr">
        <is>
          <t>floor-02</t>
        </is>
      </c>
      <c r="B11" s="7">
        <f>IFERROR(VLOOKUP($A11,商品マスタ!$A:$E,5,FALSE),"")</f>
        <v/>
      </c>
      <c r="C11" s="8" t="n">
        <v>4</v>
      </c>
      <c r="D11" s="8" t="inlineStr">
        <is>
          <t>ポルドガーネット</t>
        </is>
      </c>
      <c r="E11" s="19" t="inlineStr">
        <is>
          <t>#8e7571</t>
        </is>
      </c>
    </row>
    <row r="12">
      <c r="A12" s="8" t="inlineStr">
        <is>
          <t>floor-02</t>
        </is>
      </c>
      <c r="B12" s="7">
        <f>IFERROR(VLOOKUP($A12,商品マスタ!$A:$E,5,FALSE),"")</f>
        <v/>
      </c>
      <c r="C12" s="8" t="n">
        <v>5</v>
      </c>
      <c r="D12" s="8" t="inlineStr">
        <is>
          <t>ポルドグレー</t>
        </is>
      </c>
      <c r="E12" s="20" t="inlineStr">
        <is>
          <t>#87827f</t>
        </is>
      </c>
    </row>
    <row r="13">
      <c r="A13" s="8" t="inlineStr">
        <is>
          <t>floor-02</t>
        </is>
      </c>
      <c r="B13" s="7">
        <f>IFERROR(VLOOKUP($A13,商品マスタ!$A:$E,5,FALSE),"")</f>
        <v/>
      </c>
      <c r="C13" s="8" t="n">
        <v>6</v>
      </c>
      <c r="D13" s="8" t="inlineStr">
        <is>
          <t>ポルドダーク</t>
        </is>
      </c>
      <c r="E13" s="21" t="inlineStr">
        <is>
          <t>#6f696b</t>
        </is>
      </c>
    </row>
    <row r="14">
      <c r="A14" s="8" t="inlineStr">
        <is>
          <t>floor-03</t>
        </is>
      </c>
      <c r="B14" s="7">
        <f>IFERROR(VLOOKUP($A14,商品マスタ!$A:$E,5,FALSE),"")</f>
        <v/>
      </c>
      <c r="C14" s="8" t="n">
        <v>1</v>
      </c>
      <c r="D14" s="8" t="inlineStr">
        <is>
          <t>ニュートアッシュ</t>
        </is>
      </c>
      <c r="E14" s="22" t="inlineStr">
        <is>
          <t>#dad6d3</t>
        </is>
      </c>
    </row>
    <row r="15">
      <c r="A15" s="8" t="inlineStr">
        <is>
          <t>floor-03</t>
        </is>
      </c>
      <c r="B15" s="7">
        <f>IFERROR(VLOOKUP($A15,商品マスタ!$A:$E,5,FALSE),"")</f>
        <v/>
      </c>
      <c r="C15" s="8" t="n">
        <v>2</v>
      </c>
      <c r="D15" s="8" t="inlineStr">
        <is>
          <t>ニュートグレー</t>
        </is>
      </c>
      <c r="E15" s="23" t="inlineStr">
        <is>
          <t>#aca39c</t>
        </is>
      </c>
    </row>
    <row r="16">
      <c r="A16" s="8" t="inlineStr">
        <is>
          <t>floor-03</t>
        </is>
      </c>
      <c r="B16" s="7">
        <f>IFERROR(VLOOKUP($A16,商品マスタ!$A:$E,5,FALSE),"")</f>
        <v/>
      </c>
      <c r="C16" s="8" t="n">
        <v>3</v>
      </c>
      <c r="D16" s="8" t="inlineStr">
        <is>
          <t>ニュートぺブル</t>
        </is>
      </c>
      <c r="E16" s="24" t="inlineStr">
        <is>
          <t>#c1b8af</t>
        </is>
      </c>
    </row>
    <row r="17">
      <c r="A17" s="8" t="inlineStr">
        <is>
          <t>floor-03</t>
        </is>
      </c>
      <c r="B17" s="7">
        <f>IFERROR(VLOOKUP($A17,商品マスタ!$A:$E,5,FALSE),"")</f>
        <v/>
      </c>
      <c r="C17" s="8" t="n">
        <v>4</v>
      </c>
      <c r="D17" s="8" t="inlineStr">
        <is>
          <t>ニュートダーク</t>
        </is>
      </c>
      <c r="E17" s="25" t="inlineStr">
        <is>
          <t>#6f6a67</t>
        </is>
      </c>
    </row>
    <row r="18">
      <c r="A18" s="8" t="inlineStr">
        <is>
          <t>floor-04</t>
        </is>
      </c>
      <c r="B18" s="7">
        <f>IFERROR(VLOOKUP($A18,商品マスタ!$A:$E,5,FALSE),"")</f>
        <v/>
      </c>
      <c r="C18" s="8" t="n">
        <v>1</v>
      </c>
      <c r="D18" s="8" t="inlineStr">
        <is>
          <t>クラリーホワイト</t>
        </is>
      </c>
      <c r="E18" s="26" t="inlineStr">
        <is>
          <t>#e5d9cb</t>
        </is>
      </c>
    </row>
    <row r="19">
      <c r="A19" s="8" t="inlineStr">
        <is>
          <t>floor-04</t>
        </is>
      </c>
      <c r="B19" s="7">
        <f>IFERROR(VLOOKUP($A19,商品マスタ!$A:$E,5,FALSE),"")</f>
        <v/>
      </c>
      <c r="C19" s="8" t="n">
        <v>2</v>
      </c>
      <c r="D19" s="8" t="inlineStr">
        <is>
          <t>クラリーベージュ</t>
        </is>
      </c>
      <c r="E19" s="27" t="inlineStr">
        <is>
          <t>#bdb086</t>
        </is>
      </c>
    </row>
    <row r="20">
      <c r="A20" s="8" t="inlineStr">
        <is>
          <t>floor-04</t>
        </is>
      </c>
      <c r="B20" s="7">
        <f>IFERROR(VLOOKUP($A20,商品マスタ!$A:$E,5,FALSE),"")</f>
        <v/>
      </c>
      <c r="C20" s="8" t="n">
        <v>3</v>
      </c>
      <c r="D20" s="8" t="inlineStr">
        <is>
          <t>クラリーブラウン</t>
        </is>
      </c>
      <c r="E20" s="28" t="inlineStr">
        <is>
          <t>#90796b</t>
        </is>
      </c>
    </row>
    <row r="21">
      <c r="A21" s="8" t="inlineStr">
        <is>
          <t>floor-04</t>
        </is>
      </c>
      <c r="B21" s="7">
        <f>IFERROR(VLOOKUP($A21,商品マスタ!$A:$E,5,FALSE),"")</f>
        <v/>
      </c>
      <c r="C21" s="8" t="n">
        <v>4</v>
      </c>
      <c r="D21" s="8" t="inlineStr">
        <is>
          <t>クラリーグレー</t>
        </is>
      </c>
      <c r="E21" s="29" t="inlineStr">
        <is>
          <t>#7e7a77</t>
        </is>
      </c>
    </row>
    <row r="22">
      <c r="A22" s="8" t="inlineStr">
        <is>
          <t>floor-04</t>
        </is>
      </c>
      <c r="B22" s="7">
        <f>IFERROR(VLOOKUP($A22,商品マスタ!$A:$E,5,FALSE),"")</f>
        <v/>
      </c>
      <c r="C22" s="8" t="n">
        <v>5</v>
      </c>
      <c r="D22" s="8" t="inlineStr">
        <is>
          <t>クラリーブラック</t>
        </is>
      </c>
      <c r="E22" s="30" t="inlineStr">
        <is>
          <t>#676360</t>
        </is>
      </c>
    </row>
    <row r="23">
      <c r="A23" s="8" t="inlineStr">
        <is>
          <t>floor-05</t>
        </is>
      </c>
      <c r="B23" s="7">
        <f>IFERROR(VLOOKUP($A23,商品マスタ!$A:$E,5,FALSE),"")</f>
        <v/>
      </c>
      <c r="C23" s="8" t="n">
        <v>1</v>
      </c>
      <c r="D23" s="8" t="inlineStr">
        <is>
          <t>ロッソ</t>
        </is>
      </c>
      <c r="E23" s="31" t="inlineStr">
        <is>
          <t>#9a7d6d</t>
        </is>
      </c>
    </row>
    <row r="24">
      <c r="A24" s="8" t="inlineStr">
        <is>
          <t>floor-05</t>
        </is>
      </c>
      <c r="B24" s="7">
        <f>IFERROR(VLOOKUP($A24,商品マスタ!$A:$E,5,FALSE),"")</f>
        <v/>
      </c>
      <c r="C24" s="8" t="n">
        <v>2</v>
      </c>
      <c r="D24" s="8" t="inlineStr">
        <is>
          <t>ナッツ</t>
        </is>
      </c>
      <c r="E24" s="32" t="inlineStr">
        <is>
          <t>#c19a6f</t>
        </is>
      </c>
    </row>
    <row r="25">
      <c r="A25" s="8" t="inlineStr">
        <is>
          <t>floor-05</t>
        </is>
      </c>
      <c r="B25" s="7">
        <f>IFERROR(VLOOKUP($A25,商品マスタ!$A:$E,5,FALSE),"")</f>
        <v/>
      </c>
      <c r="C25" s="8" t="n">
        <v>3</v>
      </c>
      <c r="D25" s="8" t="inlineStr">
        <is>
          <t>アンバー</t>
        </is>
      </c>
      <c r="E25" s="33" t="inlineStr">
        <is>
          <t>#6c6054</t>
        </is>
      </c>
    </row>
    <row r="26">
      <c r="A26" s="8" t="inlineStr">
        <is>
          <t>floor-05</t>
        </is>
      </c>
      <c r="B26" s="7">
        <f>IFERROR(VLOOKUP($A26,商品マスタ!$A:$E,5,FALSE),"")</f>
        <v/>
      </c>
      <c r="C26" s="8" t="n">
        <v>4</v>
      </c>
      <c r="D26" s="8" t="inlineStr">
        <is>
          <t>グレー</t>
        </is>
      </c>
      <c r="E26" s="34" t="inlineStr">
        <is>
          <t>#a6a19e</t>
        </is>
      </c>
    </row>
    <row r="27">
      <c r="A27" s="8" t="inlineStr">
        <is>
          <t>floor-06</t>
        </is>
      </c>
      <c r="B27" s="7">
        <f>IFERROR(VLOOKUP($A27,商品マスタ!$A:$E,5,FALSE),"")</f>
        <v/>
      </c>
      <c r="C27" s="8" t="n">
        <v>1</v>
      </c>
      <c r="D27" s="8" t="inlineStr">
        <is>
          <t>フツウ</t>
        </is>
      </c>
      <c r="E27" s="35" t="inlineStr">
        <is>
          <t>#d1cdc2</t>
        </is>
      </c>
    </row>
    <row r="28">
      <c r="A28" s="8" t="inlineStr">
        <is>
          <t>floor-06</t>
        </is>
      </c>
      <c r="B28" s="7">
        <f>IFERROR(VLOOKUP($A28,商品マスタ!$A:$E,5,FALSE),"")</f>
        <v/>
      </c>
      <c r="C28" s="8" t="n">
        <v>2</v>
      </c>
      <c r="D28" s="8" t="inlineStr">
        <is>
          <t>クロメ</t>
        </is>
      </c>
      <c r="E28" s="36" t="inlineStr">
        <is>
          <t>#7b7c76</t>
        </is>
      </c>
    </row>
    <row r="29">
      <c r="A29" s="8" t="inlineStr">
        <is>
          <t>floor-07</t>
        </is>
      </c>
      <c r="B29" s="7">
        <f>IFERROR(VLOOKUP($A29,商品マスタ!$A:$E,5,FALSE),"")</f>
        <v/>
      </c>
      <c r="C29" s="8" t="n">
        <v>1</v>
      </c>
      <c r="D29" s="8" t="inlineStr">
        <is>
          <t>ヴィーナス</t>
        </is>
      </c>
      <c r="E29" s="37" t="inlineStr">
        <is>
          <t>#e8c99a</t>
        </is>
      </c>
    </row>
    <row r="30">
      <c r="A30" s="8" t="inlineStr">
        <is>
          <t>floor-07</t>
        </is>
      </c>
      <c r="B30" s="7">
        <f>IFERROR(VLOOKUP($A30,商品マスタ!$A:$E,5,FALSE),"")</f>
        <v/>
      </c>
      <c r="C30" s="8" t="n">
        <v>2</v>
      </c>
      <c r="D30" s="8" t="inlineStr">
        <is>
          <t>マーズ</t>
        </is>
      </c>
      <c r="E30" s="38" t="inlineStr">
        <is>
          <t>#b05936</t>
        </is>
      </c>
    </row>
    <row r="31">
      <c r="A31" s="8" t="inlineStr">
        <is>
          <t>floor-07</t>
        </is>
      </c>
      <c r="B31" s="7">
        <f>IFERROR(VLOOKUP($A31,商品マスタ!$A:$E,5,FALSE),"")</f>
        <v/>
      </c>
      <c r="C31" s="8" t="n">
        <v>3</v>
      </c>
      <c r="D31" s="8" t="inlineStr">
        <is>
          <t>ジュピター</t>
        </is>
      </c>
      <c r="E31" s="39" t="inlineStr">
        <is>
          <t>#af8870</t>
        </is>
      </c>
    </row>
    <row r="32">
      <c r="A32" s="8" t="inlineStr">
        <is>
          <t>floor-07</t>
        </is>
      </c>
      <c r="B32" s="7">
        <f>IFERROR(VLOOKUP($A32,商品マスタ!$A:$E,5,FALSE),"")</f>
        <v/>
      </c>
      <c r="C32" s="8" t="n">
        <v>4</v>
      </c>
      <c r="D32" s="8" t="inlineStr">
        <is>
          <t>サターン</t>
        </is>
      </c>
      <c r="E32" s="40" t="inlineStr">
        <is>
          <t>#756361</t>
        </is>
      </c>
    </row>
    <row r="33">
      <c r="A33" s="8" t="inlineStr">
        <is>
          <t>floor-08</t>
        </is>
      </c>
      <c r="B33" s="7">
        <f>IFERROR(VLOOKUP($A33,商品マスタ!$A:$E,5,FALSE),"")</f>
        <v/>
      </c>
      <c r="C33" s="8" t="n">
        <v>1</v>
      </c>
      <c r="D33" s="8" t="inlineStr">
        <is>
          <t>アンチックシルバー</t>
        </is>
      </c>
      <c r="E33" s="41" t="inlineStr">
        <is>
          <t>#c3a185</t>
        </is>
      </c>
    </row>
    <row r="34">
      <c r="A34" s="8" t="inlineStr">
        <is>
          <t>floor-08</t>
        </is>
      </c>
      <c r="B34" s="7">
        <f>IFERROR(VLOOKUP($A34,商品マスタ!$A:$E,5,FALSE),"")</f>
        <v/>
      </c>
      <c r="C34" s="8" t="n">
        <v>2</v>
      </c>
      <c r="D34" s="8" t="inlineStr">
        <is>
          <t>アンチックオレンジ</t>
        </is>
      </c>
      <c r="E34" s="42" t="inlineStr">
        <is>
          <t>#c28d6e</t>
        </is>
      </c>
    </row>
    <row r="35">
      <c r="A35" s="8" t="inlineStr">
        <is>
          <t>floor-08</t>
        </is>
      </c>
      <c r="B35" s="7">
        <f>IFERROR(VLOOKUP($A35,商品マスタ!$A:$E,5,FALSE),"")</f>
        <v/>
      </c>
      <c r="C35" s="8" t="n">
        <v>3</v>
      </c>
      <c r="D35" s="8" t="inlineStr">
        <is>
          <t>アンチックイエロー</t>
        </is>
      </c>
      <c r="E35" s="43" t="inlineStr">
        <is>
          <t>#d8c5ad</t>
        </is>
      </c>
    </row>
    <row r="36">
      <c r="A36" s="8" t="inlineStr">
        <is>
          <t>floor-08</t>
        </is>
      </c>
      <c r="B36" s="7">
        <f>IFERROR(VLOOKUP($A36,商品マスタ!$A:$E,5,FALSE),"")</f>
        <v/>
      </c>
      <c r="C36" s="8" t="n">
        <v>4</v>
      </c>
      <c r="D36" s="8" t="inlineStr">
        <is>
          <t>ダルバイオレット</t>
        </is>
      </c>
      <c r="E36" s="44" t="inlineStr">
        <is>
          <t>#93756a</t>
        </is>
      </c>
    </row>
    <row r="37">
      <c r="A37" s="8" t="inlineStr">
        <is>
          <t>floor-09</t>
        </is>
      </c>
      <c r="B37" s="7">
        <f>IFERROR(VLOOKUP($A37,商品マスタ!$A:$E,5,FALSE),"")</f>
        <v/>
      </c>
      <c r="C37" s="8" t="n">
        <v>1</v>
      </c>
      <c r="D37" s="8" t="inlineStr">
        <is>
          <t>春風</t>
        </is>
      </c>
      <c r="E37" s="45" t="inlineStr">
        <is>
          <t>#d7a16d</t>
        </is>
      </c>
    </row>
    <row r="38">
      <c r="A38" s="8" t="inlineStr">
        <is>
          <t>floor-09</t>
        </is>
      </c>
      <c r="B38" s="7">
        <f>IFERROR(VLOOKUP($A38,商品マスタ!$A:$E,5,FALSE),"")</f>
        <v/>
      </c>
      <c r="C38" s="8" t="n">
        <v>2</v>
      </c>
      <c r="D38" s="8" t="inlineStr">
        <is>
          <t>夏風</t>
        </is>
      </c>
      <c r="E38" s="46" t="inlineStr">
        <is>
          <t>#eba98f</t>
        </is>
      </c>
    </row>
    <row r="39">
      <c r="A39" s="8" t="inlineStr">
        <is>
          <t>floor-09</t>
        </is>
      </c>
      <c r="B39" s="7">
        <f>IFERROR(VLOOKUP($A39,商品マスタ!$A:$E,5,FALSE),"")</f>
        <v/>
      </c>
      <c r="C39" s="8" t="n">
        <v>3</v>
      </c>
      <c r="D39" s="8" t="inlineStr">
        <is>
          <t>秋風</t>
        </is>
      </c>
      <c r="E39" s="47" t="inlineStr">
        <is>
          <t>#d57e5b</t>
        </is>
      </c>
    </row>
    <row r="40">
      <c r="A40" s="8" t="inlineStr">
        <is>
          <t>floor-09</t>
        </is>
      </c>
      <c r="B40" s="7">
        <f>IFERROR(VLOOKUP($A40,商品マスタ!$A:$E,5,FALSE),"")</f>
        <v/>
      </c>
      <c r="C40" s="8" t="n">
        <v>4</v>
      </c>
      <c r="D40" s="8" t="inlineStr">
        <is>
          <t>冬風</t>
        </is>
      </c>
      <c r="E40" s="48" t="inlineStr">
        <is>
          <t>#c69e81</t>
        </is>
      </c>
    </row>
    <row r="41">
      <c r="A41" s="8" t="inlineStr">
        <is>
          <t>floor-10</t>
        </is>
      </c>
      <c r="B41" s="7">
        <f>IFERROR(VLOOKUP($A41,商品マスタ!$A:$E,5,FALSE),"")</f>
        <v/>
      </c>
      <c r="C41" s="8" t="n">
        <v>1</v>
      </c>
      <c r="D41" s="8" t="inlineStr">
        <is>
          <t>オールドローズ</t>
        </is>
      </c>
      <c r="E41" s="49" t="inlineStr">
        <is>
          <t>#be7e5b</t>
        </is>
      </c>
    </row>
    <row r="42">
      <c r="A42" s="8" t="inlineStr">
        <is>
          <t>floor-10</t>
        </is>
      </c>
      <c r="B42" s="7">
        <f>IFERROR(VLOOKUP($A42,商品マスタ!$A:$E,5,FALSE),"")</f>
        <v/>
      </c>
      <c r="C42" s="8" t="n">
        <v>2</v>
      </c>
      <c r="D42" s="8" t="inlineStr">
        <is>
          <t>ネオキャロット</t>
        </is>
      </c>
      <c r="E42" s="50" t="inlineStr">
        <is>
          <t>#db8a5e</t>
        </is>
      </c>
    </row>
    <row r="43">
      <c r="A43" s="8" t="inlineStr">
        <is>
          <t>floor-10</t>
        </is>
      </c>
      <c r="B43" s="7">
        <f>IFERROR(VLOOKUP($A43,商品マスタ!$A:$E,5,FALSE),"")</f>
        <v/>
      </c>
      <c r="C43" s="8" t="n">
        <v>3</v>
      </c>
      <c r="D43" s="8" t="inlineStr">
        <is>
          <t>アイボリー</t>
        </is>
      </c>
      <c r="E43" s="51" t="inlineStr">
        <is>
          <t>#e7cfb5</t>
        </is>
      </c>
    </row>
    <row r="44">
      <c r="A44" s="8" t="inlineStr">
        <is>
          <t>floor-10</t>
        </is>
      </c>
      <c r="B44" s="7">
        <f>IFERROR(VLOOKUP($A44,商品マスタ!$A:$E,5,FALSE),"")</f>
        <v/>
      </c>
      <c r="C44" s="8" t="n">
        <v>4</v>
      </c>
      <c r="D44" s="8" t="inlineStr">
        <is>
          <t>ディープブラウン</t>
        </is>
      </c>
      <c r="E44" s="52" t="inlineStr">
        <is>
          <t>#886b5a</t>
        </is>
      </c>
    </row>
    <row r="45">
      <c r="A45" s="8" t="inlineStr">
        <is>
          <t>floor-10</t>
        </is>
      </c>
      <c r="B45" s="7">
        <f>IFERROR(VLOOKUP($A45,商品マスタ!$A:$E,5,FALSE),"")</f>
        <v/>
      </c>
      <c r="C45" s="8" t="n">
        <v>5</v>
      </c>
      <c r="D45" s="8" t="inlineStr">
        <is>
          <t>ライトブラウン</t>
        </is>
      </c>
      <c r="E45" s="53" t="inlineStr">
        <is>
          <t>#ae7b56</t>
        </is>
      </c>
    </row>
    <row r="46">
      <c r="A46" s="8" t="inlineStr">
        <is>
          <t>floor-10</t>
        </is>
      </c>
      <c r="B46" s="7">
        <f>IFERROR(VLOOKUP($A46,商品マスタ!$A:$E,5,FALSE),"")</f>
        <v/>
      </c>
      <c r="C46" s="8" t="n">
        <v>6</v>
      </c>
      <c r="D46" s="8" t="inlineStr">
        <is>
          <t>メタルシルバー</t>
        </is>
      </c>
      <c r="E46" s="54" t="inlineStr">
        <is>
          <t>#756f6f</t>
        </is>
      </c>
    </row>
    <row r="47">
      <c r="A47" s="8" t="inlineStr">
        <is>
          <t>floor-11</t>
        </is>
      </c>
      <c r="B47" s="7">
        <f>IFERROR(VLOOKUP($A47,商品マスタ!$A:$E,5,FALSE),"")</f>
        <v/>
      </c>
      <c r="C47" s="8" t="n">
        <v>1</v>
      </c>
      <c r="D47" s="8" t="inlineStr">
        <is>
          <t>シャルドホワイト</t>
        </is>
      </c>
      <c r="E47" s="55" t="inlineStr">
        <is>
          <t>#f0dfcf</t>
        </is>
      </c>
    </row>
    <row r="48">
      <c r="A48" s="8" t="inlineStr">
        <is>
          <t>floor-11</t>
        </is>
      </c>
      <c r="B48" s="7">
        <f>IFERROR(VLOOKUP($A48,商品マスタ!$A:$E,5,FALSE),"")</f>
        <v/>
      </c>
      <c r="C48" s="8" t="n">
        <v>2</v>
      </c>
      <c r="D48" s="8" t="inlineStr">
        <is>
          <t>シャルドクリーム</t>
        </is>
      </c>
      <c r="E48" s="56" t="inlineStr">
        <is>
          <t>#d7c4a9</t>
        </is>
      </c>
    </row>
    <row r="49">
      <c r="A49" s="8" t="inlineStr">
        <is>
          <t>floor-11</t>
        </is>
      </c>
      <c r="B49" s="7">
        <f>IFERROR(VLOOKUP($A49,商品マスタ!$A:$E,5,FALSE),"")</f>
        <v/>
      </c>
      <c r="C49" s="8" t="n">
        <v>3</v>
      </c>
      <c r="D49" s="8" t="inlineStr">
        <is>
          <t>シャルドブラウン</t>
        </is>
      </c>
      <c r="E49" s="57" t="inlineStr">
        <is>
          <t>#92775c</t>
        </is>
      </c>
    </row>
    <row r="50">
      <c r="A50" s="8" t="inlineStr">
        <is>
          <t>floor-11</t>
        </is>
      </c>
      <c r="B50" s="7">
        <f>IFERROR(VLOOKUP($A50,商品マスタ!$A:$E,5,FALSE),"")</f>
        <v/>
      </c>
      <c r="C50" s="8" t="n">
        <v>4</v>
      </c>
      <c r="D50" s="8" t="inlineStr">
        <is>
          <t>シャルドローズ</t>
        </is>
      </c>
      <c r="E50" s="58" t="inlineStr">
        <is>
          <t>#7e5750</t>
        </is>
      </c>
    </row>
    <row r="51">
      <c r="A51" s="8" t="inlineStr">
        <is>
          <t>floor-11</t>
        </is>
      </c>
      <c r="B51" s="7">
        <f>IFERROR(VLOOKUP($A51,商品マスタ!$A:$E,5,FALSE),"")</f>
        <v/>
      </c>
      <c r="C51" s="8" t="n">
        <v>5</v>
      </c>
      <c r="D51" s="8" t="inlineStr">
        <is>
          <t>シャルドショコラ</t>
        </is>
      </c>
      <c r="E51" s="59" t="inlineStr">
        <is>
          <t>#443c39</t>
        </is>
      </c>
    </row>
    <row r="52">
      <c r="A52" s="8" t="inlineStr">
        <is>
          <t>floor-12</t>
        </is>
      </c>
      <c r="B52" s="7">
        <f>IFERROR(VLOOKUP($A52,商品マスタ!$A:$E,5,FALSE),"")</f>
        <v/>
      </c>
      <c r="C52" s="8" t="n">
        <v>1</v>
      </c>
      <c r="D52" s="8" t="inlineStr">
        <is>
          <t>バサルト黒/黒</t>
        </is>
      </c>
      <c r="E52" s="60" t="inlineStr">
        <is>
          <t>#3c3e3f</t>
        </is>
      </c>
    </row>
    <row r="53">
      <c r="A53" s="8" t="inlineStr">
        <is>
          <t>floor-12</t>
        </is>
      </c>
      <c r="B53" s="7">
        <f>IFERROR(VLOOKUP($A53,商品マスタ!$A:$E,5,FALSE),"")</f>
        <v/>
      </c>
      <c r="C53" s="8" t="n">
        <v>2</v>
      </c>
      <c r="D53" s="8" t="inlineStr">
        <is>
          <t>ニューアッシュ/バサルト</t>
        </is>
      </c>
      <c r="E53" s="61" t="inlineStr">
        <is>
          <t>#9a9d9c</t>
        </is>
      </c>
    </row>
    <row r="54">
      <c r="A54" s="8" t="inlineStr">
        <is>
          <t>floor-12</t>
        </is>
      </c>
      <c r="B54" s="7">
        <f>IFERROR(VLOOKUP($A54,商品マスタ!$A:$E,5,FALSE),"")</f>
        <v/>
      </c>
      <c r="C54" s="8" t="n">
        <v>3</v>
      </c>
      <c r="D54" s="8" t="inlineStr">
        <is>
          <t>セサミホワイト/ホワイト</t>
        </is>
      </c>
      <c r="E54" s="62" t="inlineStr">
        <is>
          <t>#dfdcdf</t>
        </is>
      </c>
    </row>
    <row r="55">
      <c r="A55" s="8" t="inlineStr">
        <is>
          <t>floor-12</t>
        </is>
      </c>
      <c r="B55" s="7">
        <f>IFERROR(VLOOKUP($A55,商品マスタ!$A:$E,5,FALSE),"")</f>
        <v/>
      </c>
      <c r="C55" s="8" t="n">
        <v>4</v>
      </c>
      <c r="D55" s="8" t="inlineStr">
        <is>
          <t>ラスト/ライトイエロー</t>
        </is>
      </c>
      <c r="E55" s="63" t="inlineStr">
        <is>
          <t>#ddcdc0</t>
        </is>
      </c>
    </row>
    <row r="56">
      <c r="A56" s="8" t="inlineStr">
        <is>
          <t>floor-12</t>
        </is>
      </c>
      <c r="B56" s="7">
        <f>IFERROR(VLOOKUP($A56,商品マスタ!$A:$E,5,FALSE),"")</f>
        <v/>
      </c>
      <c r="C56" s="8" t="n">
        <v>5</v>
      </c>
      <c r="D56" s="8" t="inlineStr">
        <is>
          <t>サクラ</t>
        </is>
      </c>
      <c r="E56" s="64" t="inlineStr">
        <is>
          <t>#cbbdbd</t>
        </is>
      </c>
    </row>
    <row r="57">
      <c r="A57" s="8" t="inlineStr">
        <is>
          <t>floor-12</t>
        </is>
      </c>
      <c r="B57" s="7">
        <f>IFERROR(VLOOKUP($A57,商品マスタ!$A:$E,5,FALSE),"")</f>
        <v/>
      </c>
      <c r="C57" s="8" t="n">
        <v>6</v>
      </c>
      <c r="D57" s="8" t="inlineStr">
        <is>
          <t>チェリー/チェリー</t>
        </is>
      </c>
      <c r="E57" s="65" t="inlineStr">
        <is>
          <t>#b3a5a3</t>
        </is>
      </c>
    </row>
    <row r="58">
      <c r="A58" s="8" t="inlineStr">
        <is>
          <t>floor-12</t>
        </is>
      </c>
      <c r="B58" s="7">
        <f>IFERROR(VLOOKUP($A58,商品マスタ!$A:$E,5,FALSE),"")</f>
        <v/>
      </c>
      <c r="C58" s="8" t="n">
        <v>7</v>
      </c>
      <c r="D58" s="8" t="inlineStr">
        <is>
          <t>ローズーレッド/レッド</t>
        </is>
      </c>
      <c r="E58" s="66" t="inlineStr">
        <is>
          <t>#ad8b86</t>
        </is>
      </c>
    </row>
    <row r="59">
      <c r="A59" s="8" t="inlineStr">
        <is>
          <t>floor-12</t>
        </is>
      </c>
      <c r="B59" s="7">
        <f>IFERROR(VLOOKUP($A59,商品マスタ!$A:$E,5,FALSE),"")</f>
        <v/>
      </c>
      <c r="C59" s="8" t="n">
        <v>8</v>
      </c>
      <c r="D59" s="8" t="inlineStr">
        <is>
          <t>白</t>
        </is>
      </c>
      <c r="E59" s="67" t="inlineStr">
        <is>
          <t>#e1e3ea</t>
        </is>
      </c>
    </row>
    <row r="60">
      <c r="A60" s="8" t="inlineStr">
        <is>
          <t>floor-12</t>
        </is>
      </c>
      <c r="B60" s="7">
        <f>IFERROR(VLOOKUP($A60,商品マスタ!$A:$E,5,FALSE),"")</f>
        <v/>
      </c>
      <c r="C60" s="8" t="n">
        <v>9</v>
      </c>
      <c r="D60" s="8" t="inlineStr">
        <is>
          <t>さび</t>
        </is>
      </c>
      <c r="E60" s="68" t="inlineStr">
        <is>
          <t>#e5d0c1</t>
        </is>
      </c>
    </row>
    <row r="61">
      <c r="A61" s="8" t="inlineStr">
        <is>
          <t>floor-13</t>
        </is>
      </c>
      <c r="B61" s="7">
        <f>IFERROR(VLOOKUP($A61,商品マスタ!$A:$E,5,FALSE),"")</f>
        <v/>
      </c>
      <c r="C61" s="8" t="n">
        <v>1</v>
      </c>
      <c r="D61" s="8" t="inlineStr">
        <is>
          <t>プリベリー</t>
        </is>
      </c>
      <c r="E61" s="69" t="inlineStr">
        <is>
          <t>#99533a</t>
        </is>
      </c>
    </row>
    <row r="62">
      <c r="A62" s="8" t="inlineStr">
        <is>
          <t>floor-13</t>
        </is>
      </c>
      <c r="B62" s="7">
        <f>IFERROR(VLOOKUP($A62,商品マスタ!$A:$E,5,FALSE),"")</f>
        <v/>
      </c>
      <c r="C62" s="8" t="n">
        <v>2</v>
      </c>
      <c r="D62" s="8" t="inlineStr">
        <is>
          <t>プリマロン</t>
        </is>
      </c>
      <c r="E62" s="70" t="inlineStr">
        <is>
          <t>#a06e53</t>
        </is>
      </c>
    </row>
    <row r="63">
      <c r="A63" s="8" t="inlineStr">
        <is>
          <t>floor-13</t>
        </is>
      </c>
      <c r="B63" s="7">
        <f>IFERROR(VLOOKUP($A63,商品マスタ!$A:$E,5,FALSE),"")</f>
        <v/>
      </c>
      <c r="C63" s="8" t="n">
        <v>3</v>
      </c>
      <c r="D63" s="8" t="inlineStr">
        <is>
          <t>プリチョコ</t>
        </is>
      </c>
      <c r="E63" s="71" t="inlineStr">
        <is>
          <t>#946451</t>
        </is>
      </c>
    </row>
    <row r="64">
      <c r="A64" s="8" t="inlineStr">
        <is>
          <t>floor-13</t>
        </is>
      </c>
      <c r="B64" s="7">
        <f>IFERROR(VLOOKUP($A64,商品マスタ!$A:$E,5,FALSE),"")</f>
        <v/>
      </c>
      <c r="C64" s="8" t="n">
        <v>4</v>
      </c>
      <c r="D64" s="8" t="inlineStr">
        <is>
          <t>プリキャロット</t>
        </is>
      </c>
      <c r="E64" s="72" t="inlineStr">
        <is>
          <t>#e0ab7f</t>
        </is>
      </c>
    </row>
    <row r="65">
      <c r="A65" s="8" t="inlineStr">
        <is>
          <t>floor-13</t>
        </is>
      </c>
      <c r="B65" s="7">
        <f>IFERROR(VLOOKUP($A65,商品マスタ!$A:$E,5,FALSE),"")</f>
        <v/>
      </c>
      <c r="C65" s="8" t="n">
        <v>5</v>
      </c>
      <c r="D65" s="8" t="inlineStr">
        <is>
          <t>プリブラック</t>
        </is>
      </c>
      <c r="E65" s="73" t="inlineStr">
        <is>
          <t>#6d6966</t>
        </is>
      </c>
    </row>
    <row r="66">
      <c r="A66" s="8" t="inlineStr">
        <is>
          <t>floor-14</t>
        </is>
      </c>
      <c r="B66" s="7">
        <f>IFERROR(VLOOKUP($A66,商品マスタ!$A:$E,5,FALSE),"")</f>
        <v/>
      </c>
      <c r="C66" s="8" t="n">
        <v>1</v>
      </c>
      <c r="D66" s="8" t="inlineStr">
        <is>
          <t>1色</t>
        </is>
      </c>
      <c r="E66" s="74" t="inlineStr">
        <is>
          <t>#c8a781</t>
        </is>
      </c>
    </row>
    <row r="67">
      <c r="A67" s="8" t="inlineStr">
        <is>
          <t>floor-15</t>
        </is>
      </c>
      <c r="B67" s="7">
        <f>IFERROR(VLOOKUP($A67,商品マスタ!$A:$E,5,FALSE),"")</f>
        <v/>
      </c>
      <c r="C67" s="8" t="n">
        <v>1</v>
      </c>
      <c r="D67" s="8" t="inlineStr">
        <is>
          <t>フローラグリーン</t>
        </is>
      </c>
      <c r="E67" s="75" t="inlineStr">
        <is>
          <t>#9caaa9</t>
        </is>
      </c>
    </row>
    <row r="68">
      <c r="A68" s="8" t="inlineStr">
        <is>
          <t>floor-15</t>
        </is>
      </c>
      <c r="B68" s="7">
        <f>IFERROR(VLOOKUP($A68,商品マスタ!$A:$E,5,FALSE),"")</f>
        <v/>
      </c>
      <c r="C68" s="8" t="n">
        <v>2</v>
      </c>
      <c r="D68" s="8" t="inlineStr">
        <is>
          <t>メロウアイボリー</t>
        </is>
      </c>
      <c r="E68" s="76" t="inlineStr">
        <is>
          <t>#c7bdb8</t>
        </is>
      </c>
    </row>
    <row r="69">
      <c r="A69" s="8" t="inlineStr">
        <is>
          <t>floor-15</t>
        </is>
      </c>
      <c r="B69" s="7">
        <f>IFERROR(VLOOKUP($A69,商品マスタ!$A:$E,5,FALSE),"")</f>
        <v/>
      </c>
      <c r="C69" s="8" t="n">
        <v>3</v>
      </c>
      <c r="D69" s="8" t="inlineStr">
        <is>
          <t>ニューヴァンテ</t>
        </is>
      </c>
      <c r="E69" s="77" t="inlineStr">
        <is>
          <t>#aea29e</t>
        </is>
      </c>
    </row>
    <row r="70">
      <c r="A70" s="8" t="inlineStr">
        <is>
          <t>floor-15</t>
        </is>
      </c>
      <c r="B70" s="7">
        <f>IFERROR(VLOOKUP($A70,商品マスタ!$A:$E,5,FALSE),"")</f>
        <v/>
      </c>
      <c r="C70" s="8" t="n">
        <v>4</v>
      </c>
      <c r="D70" s="8" t="inlineStr">
        <is>
          <t>エマーブル</t>
        </is>
      </c>
      <c r="E70" s="78" t="inlineStr">
        <is>
          <t>#bfb7b7</t>
        </is>
      </c>
    </row>
    <row r="71">
      <c r="A71" s="8" t="inlineStr">
        <is>
          <t>floor-15</t>
        </is>
      </c>
      <c r="B71" s="7">
        <f>IFERROR(VLOOKUP($A71,商品マスタ!$A:$E,5,FALSE),"")</f>
        <v/>
      </c>
      <c r="C71" s="8" t="n">
        <v>5</v>
      </c>
      <c r="D71" s="8" t="inlineStr">
        <is>
          <t>アベイユ</t>
        </is>
      </c>
      <c r="E71" s="79" t="inlineStr">
        <is>
          <t>#9d917f</t>
        </is>
      </c>
    </row>
    <row r="72">
      <c r="A72" s="8" t="inlineStr">
        <is>
          <t>floor-15</t>
        </is>
      </c>
      <c r="B72" s="7">
        <f>IFERROR(VLOOKUP($A72,商品マスタ!$A:$E,5,FALSE),"")</f>
        <v/>
      </c>
      <c r="C72" s="8" t="n">
        <v>6</v>
      </c>
      <c r="D72" s="8" t="inlineStr">
        <is>
          <t>マンダリン</t>
        </is>
      </c>
      <c r="E72" s="80" t="inlineStr">
        <is>
          <t>#cfb0a7</t>
        </is>
      </c>
    </row>
    <row r="73">
      <c r="A73" s="8" t="inlineStr">
        <is>
          <t>floor-16</t>
        </is>
      </c>
      <c r="B73" s="7">
        <f>IFERROR(VLOOKUP($A73,商品マスタ!$A:$E,5,FALSE),"")</f>
        <v/>
      </c>
      <c r="C73" s="8" t="n">
        <v>1</v>
      </c>
      <c r="D73" s="8" t="inlineStr">
        <is>
          <t>グレーベージュ</t>
        </is>
      </c>
      <c r="E73" s="74" t="inlineStr">
        <is>
          <t>#c8a781</t>
        </is>
      </c>
    </row>
    <row r="74">
      <c r="A74" s="8" t="inlineStr">
        <is>
          <t>floor-16</t>
        </is>
      </c>
      <c r="B74" s="7">
        <f>IFERROR(VLOOKUP($A74,商品マスタ!$A:$E,5,FALSE),"")</f>
        <v/>
      </c>
      <c r="C74" s="8" t="n">
        <v>2</v>
      </c>
      <c r="D74" s="8" t="inlineStr">
        <is>
          <t>アースグレー</t>
        </is>
      </c>
      <c r="E74" s="81" t="inlineStr">
        <is>
          <t>#838c93</t>
        </is>
      </c>
    </row>
    <row r="75">
      <c r="A75" s="8" t="inlineStr">
        <is>
          <t>floor-16</t>
        </is>
      </c>
      <c r="B75" s="7">
        <f>IFERROR(VLOOKUP($A75,商品マスタ!$A:$E,5,FALSE),"")</f>
        <v/>
      </c>
      <c r="C75" s="8" t="n">
        <v>3</v>
      </c>
      <c r="D75" s="8" t="inlineStr">
        <is>
          <t>ホワイトシルバー</t>
        </is>
      </c>
      <c r="E75" s="82" t="inlineStr">
        <is>
          <t>#e7d0b4</t>
        </is>
      </c>
    </row>
    <row r="76">
      <c r="A76" s="8" t="inlineStr">
        <is>
          <t>floor-16</t>
        </is>
      </c>
      <c r="B76" s="7">
        <f>IFERROR(VLOOKUP($A76,商品マスタ!$A:$E,5,FALSE),"")</f>
        <v/>
      </c>
      <c r="C76" s="8" t="n">
        <v>4</v>
      </c>
      <c r="D76" s="8" t="inlineStr">
        <is>
          <t>パールホワイトバーナー</t>
        </is>
      </c>
      <c r="E76" s="83" t="inlineStr">
        <is>
          <t>#dddddd</t>
        </is>
      </c>
    </row>
    <row r="77">
      <c r="A77" s="8" t="inlineStr">
        <is>
          <t>floor-17</t>
        </is>
      </c>
      <c r="B77" s="7">
        <f>IFERROR(VLOOKUP($A77,商品マスタ!$A:$E,5,FALSE),"")</f>
        <v/>
      </c>
      <c r="C77" s="8" t="n">
        <v>1</v>
      </c>
      <c r="D77" s="8" t="inlineStr">
        <is>
          <t>1色</t>
        </is>
      </c>
      <c r="E77" s="84" t="inlineStr">
        <is>
          <t>#696969</t>
        </is>
      </c>
    </row>
    <row r="78">
      <c r="A78" s="8" t="inlineStr">
        <is>
          <t>floor-18</t>
        </is>
      </c>
      <c r="B78" s="7">
        <f>IFERROR(VLOOKUP($A78,商品マスタ!$A:$E,5,FALSE),"")</f>
        <v/>
      </c>
      <c r="C78" s="8" t="n">
        <v>1</v>
      </c>
      <c r="D78" s="8" t="inlineStr">
        <is>
          <t>イエロー</t>
        </is>
      </c>
      <c r="E78" s="85" t="inlineStr">
        <is>
          <t>#d8c79b</t>
        </is>
      </c>
    </row>
    <row r="79">
      <c r="A79" s="8" t="inlineStr">
        <is>
          <t>floor-18</t>
        </is>
      </c>
      <c r="B79" s="7">
        <f>IFERROR(VLOOKUP($A79,商品マスタ!$A:$E,5,FALSE),"")</f>
        <v/>
      </c>
      <c r="C79" s="8" t="n">
        <v>2</v>
      </c>
      <c r="D79" s="8" t="inlineStr">
        <is>
          <t>ピンク/ローズ</t>
        </is>
      </c>
      <c r="E79" s="86" t="inlineStr">
        <is>
          <t>#d6b2a6</t>
        </is>
      </c>
    </row>
    <row r="80">
      <c r="A80" s="8" t="inlineStr">
        <is>
          <t>floor-18</t>
        </is>
      </c>
      <c r="B80" s="7">
        <f>IFERROR(VLOOKUP($A80,商品マスタ!$A:$E,5,FALSE),"")</f>
        <v/>
      </c>
      <c r="C80" s="8" t="n">
        <v>3</v>
      </c>
      <c r="D80" s="8" t="inlineStr">
        <is>
          <t>ビアンコ/ホワイト</t>
        </is>
      </c>
      <c r="E80" s="87" t="inlineStr">
        <is>
          <t>#d7dddf</t>
        </is>
      </c>
    </row>
    <row r="81">
      <c r="A81" s="8" t="inlineStr">
        <is>
          <t>floor-18</t>
        </is>
      </c>
      <c r="B81" s="7">
        <f>IFERROR(VLOOKUP($A81,商品マスタ!$A:$E,5,FALSE),"")</f>
        <v/>
      </c>
      <c r="C81" s="8" t="n">
        <v>4</v>
      </c>
      <c r="D81" s="8" t="inlineStr">
        <is>
          <t>ヴェルデ/グリーン</t>
        </is>
      </c>
      <c r="E81" s="88" t="inlineStr">
        <is>
          <t>#d3cdab</t>
        </is>
      </c>
    </row>
    <row r="82">
      <c r="A82" s="8" t="inlineStr">
        <is>
          <t>floor-19</t>
        </is>
      </c>
      <c r="B82" s="7">
        <f>IFERROR(VLOOKUP($A82,商品マスタ!$A:$E,5,FALSE),"")</f>
        <v/>
      </c>
      <c r="C82" s="8" t="n">
        <v>1</v>
      </c>
      <c r="D82" s="8" t="inlineStr">
        <is>
          <t>MD-300S/08</t>
        </is>
      </c>
      <c r="E82" s="89" t="inlineStr">
        <is>
          <t>#d3d5d4</t>
        </is>
      </c>
    </row>
    <row r="83">
      <c r="A83" s="8" t="inlineStr">
        <is>
          <t>floor-19</t>
        </is>
      </c>
      <c r="B83" s="7">
        <f>IFERROR(VLOOKUP($A83,商品マスタ!$A:$E,5,FALSE),"")</f>
        <v/>
      </c>
      <c r="C83" s="8" t="n">
        <v>2</v>
      </c>
      <c r="D83" s="8" t="inlineStr">
        <is>
          <t>MD-300S/09</t>
        </is>
      </c>
      <c r="E83" s="90" t="inlineStr">
        <is>
          <t>#d6cbb5</t>
        </is>
      </c>
    </row>
    <row r="84">
      <c r="A84" s="8" t="inlineStr">
        <is>
          <t>floor-19</t>
        </is>
      </c>
      <c r="B84" s="7">
        <f>IFERROR(VLOOKUP($A84,商品マスタ!$A:$E,5,FALSE),"")</f>
        <v/>
      </c>
      <c r="C84" s="8" t="n">
        <v>3</v>
      </c>
      <c r="D84" s="8" t="inlineStr">
        <is>
          <t>MD-300S/10</t>
        </is>
      </c>
      <c r="E84" s="91" t="inlineStr">
        <is>
          <t>#bb987a</t>
        </is>
      </c>
    </row>
    <row r="85">
      <c r="A85" s="8" t="inlineStr">
        <is>
          <t>floor-19</t>
        </is>
      </c>
      <c r="B85" s="7">
        <f>IFERROR(VLOOKUP($A85,商品マスタ!$A:$E,5,FALSE),"")</f>
        <v/>
      </c>
      <c r="C85" s="8" t="n">
        <v>4</v>
      </c>
      <c r="D85" s="8" t="inlineStr">
        <is>
          <t>MD-300S/11</t>
        </is>
      </c>
      <c r="E85" s="92" t="inlineStr">
        <is>
          <t>#ad7859</t>
        </is>
      </c>
    </row>
    <row r="86">
      <c r="A86" s="8" t="inlineStr">
        <is>
          <t>floor-19</t>
        </is>
      </c>
      <c r="B86" s="7">
        <f>IFERROR(VLOOKUP($A86,商品マスタ!$A:$E,5,FALSE),"")</f>
        <v/>
      </c>
      <c r="C86" s="8" t="n">
        <v>5</v>
      </c>
      <c r="D86" s="8" t="inlineStr">
        <is>
          <t>MD-300/21</t>
        </is>
      </c>
      <c r="E86" s="93" t="inlineStr">
        <is>
          <t>#ece1cf</t>
        </is>
      </c>
    </row>
    <row r="87">
      <c r="A87" s="8" t="inlineStr">
        <is>
          <t>floor-19</t>
        </is>
      </c>
      <c r="B87" s="7">
        <f>IFERROR(VLOOKUP($A87,商品マスタ!$A:$E,5,FALSE),"")</f>
        <v/>
      </c>
      <c r="C87" s="8" t="n">
        <v>6</v>
      </c>
      <c r="D87" s="8" t="inlineStr">
        <is>
          <t>MD-300/23</t>
        </is>
      </c>
      <c r="E87" s="94" t="inlineStr">
        <is>
          <t>#ddc499</t>
        </is>
      </c>
    </row>
    <row r="88">
      <c r="A88" s="8" t="inlineStr">
        <is>
          <t>floor-19</t>
        </is>
      </c>
      <c r="B88" s="7">
        <f>IFERROR(VLOOKUP($A88,商品マスタ!$A:$E,5,FALSE),"")</f>
        <v/>
      </c>
      <c r="C88" s="8" t="n">
        <v>7</v>
      </c>
      <c r="D88" s="8" t="inlineStr">
        <is>
          <t>MD-300/25</t>
        </is>
      </c>
      <c r="E88" s="95" t="inlineStr">
        <is>
          <t>#c1baad</t>
        </is>
      </c>
    </row>
    <row r="89">
      <c r="A89" s="8" t="inlineStr">
        <is>
          <t>floor-19</t>
        </is>
      </c>
      <c r="B89" s="7">
        <f>IFERROR(VLOOKUP($A89,商品マスタ!$A:$E,5,FALSE),"")</f>
        <v/>
      </c>
      <c r="C89" s="8" t="n">
        <v>8</v>
      </c>
      <c r="D89" s="8" t="inlineStr">
        <is>
          <t>MD-300/26</t>
        </is>
      </c>
      <c r="E89" s="96" t="inlineStr">
        <is>
          <t>#7b7e75</t>
        </is>
      </c>
    </row>
    <row r="90">
      <c r="A90" s="8" t="inlineStr">
        <is>
          <t>floor-19</t>
        </is>
      </c>
      <c r="B90" s="7">
        <f>IFERROR(VLOOKUP($A90,商品マスタ!$A:$E,5,FALSE),"")</f>
        <v/>
      </c>
      <c r="C90" s="8" t="n">
        <v>9</v>
      </c>
      <c r="D90" s="8" t="inlineStr">
        <is>
          <t>MD-300/27</t>
        </is>
      </c>
      <c r="E90" s="97" t="inlineStr">
        <is>
          <t>#5a564a</t>
        </is>
      </c>
    </row>
    <row r="91">
      <c r="A91" s="8" t="inlineStr">
        <is>
          <t>floor-19</t>
        </is>
      </c>
      <c r="B91" s="7">
        <f>IFERROR(VLOOKUP($A91,商品マスタ!$A:$E,5,FALSE),"")</f>
        <v/>
      </c>
      <c r="C91" s="8" t="n">
        <v>10</v>
      </c>
      <c r="D91" s="8" t="inlineStr">
        <is>
          <t>MD-300M/81</t>
        </is>
      </c>
      <c r="E91" s="98" t="inlineStr">
        <is>
          <t>#f3e6dd</t>
        </is>
      </c>
    </row>
    <row r="92">
      <c r="A92" s="8" t="inlineStr">
        <is>
          <t>floor-19</t>
        </is>
      </c>
      <c r="B92" s="7">
        <f>IFERROR(VLOOKUP($A92,商品マスタ!$A:$E,5,FALSE),"")</f>
        <v/>
      </c>
      <c r="C92" s="8" t="n">
        <v>11</v>
      </c>
      <c r="D92" s="8" t="inlineStr">
        <is>
          <t>MD-300M/82</t>
        </is>
      </c>
      <c r="E92" s="99" t="inlineStr">
        <is>
          <t>#6a6760</t>
        </is>
      </c>
    </row>
    <row r="93">
      <c r="A93" s="8" t="inlineStr">
        <is>
          <t>floor-19</t>
        </is>
      </c>
      <c r="B93" s="7">
        <f>IFERROR(VLOOKUP($A93,商品マスタ!$A:$E,5,FALSE),"")</f>
        <v/>
      </c>
      <c r="C93" s="8" t="n">
        <v>12</v>
      </c>
      <c r="D93" s="8" t="inlineStr">
        <is>
          <t>MD-300M/86</t>
        </is>
      </c>
      <c r="E93" s="100" t="inlineStr">
        <is>
          <t>#b4aa9e</t>
        </is>
      </c>
    </row>
    <row r="94">
      <c r="A94" s="8" t="inlineStr">
        <is>
          <t>floor-19</t>
        </is>
      </c>
      <c r="B94" s="7">
        <f>IFERROR(VLOOKUP($A94,商品マスタ!$A:$E,5,FALSE),"")</f>
        <v/>
      </c>
      <c r="C94" s="8" t="n">
        <v>13</v>
      </c>
      <c r="D94" s="8" t="inlineStr">
        <is>
          <t>MD-300M/87</t>
        </is>
      </c>
      <c r="E94" s="101" t="inlineStr">
        <is>
          <t>#797067</t>
        </is>
      </c>
    </row>
    <row r="95">
      <c r="A95" s="8" t="inlineStr">
        <is>
          <t>floor-19</t>
        </is>
      </c>
      <c r="B95" s="7">
        <f>IFERROR(VLOOKUP($A95,商品マスタ!$A:$E,5,FALSE),"")</f>
        <v/>
      </c>
      <c r="C95" s="8" t="n">
        <v>14</v>
      </c>
      <c r="D95" s="8" t="inlineStr">
        <is>
          <t>MD-300M/88</t>
        </is>
      </c>
      <c r="E95" s="102" t="inlineStr">
        <is>
          <t>#746359</t>
        </is>
      </c>
    </row>
    <row r="96">
      <c r="A96" s="8" t="inlineStr">
        <is>
          <t>floor-19</t>
        </is>
      </c>
      <c r="B96" s="7">
        <f>IFERROR(VLOOKUP($A96,商品マスタ!$A:$E,5,FALSE),"")</f>
        <v/>
      </c>
      <c r="C96" s="8" t="n">
        <v>15</v>
      </c>
      <c r="D96" s="8" t="inlineStr">
        <is>
          <t>WS-300S/W1</t>
        </is>
      </c>
      <c r="E96" s="103" t="inlineStr">
        <is>
          <t>#f9f6ef</t>
        </is>
      </c>
    </row>
    <row r="97">
      <c r="A97" s="8" t="inlineStr">
        <is>
          <t>floor-20</t>
        </is>
      </c>
      <c r="B97" s="7">
        <f>IFERROR(VLOOKUP($A97,商品マスタ!$A:$E,5,FALSE),"")</f>
        <v/>
      </c>
      <c r="C97" s="8" t="n">
        <v>1</v>
      </c>
      <c r="D97" s="8" t="inlineStr">
        <is>
          <t>D21</t>
        </is>
      </c>
      <c r="E97" s="104" t="inlineStr">
        <is>
          <t>#e3e0d3</t>
        </is>
      </c>
    </row>
    <row r="98">
      <c r="A98" s="8" t="inlineStr">
        <is>
          <t>floor-20</t>
        </is>
      </c>
      <c r="B98" s="7">
        <f>IFERROR(VLOOKUP($A98,商品マスタ!$A:$E,5,FALSE),"")</f>
        <v/>
      </c>
      <c r="C98" s="8" t="n">
        <v>2</v>
      </c>
      <c r="D98" s="8" t="inlineStr">
        <is>
          <t>D22</t>
        </is>
      </c>
      <c r="E98" s="105" t="inlineStr">
        <is>
          <t>#e8d7c7</t>
        </is>
      </c>
    </row>
    <row r="99">
      <c r="A99" s="8" t="inlineStr">
        <is>
          <t>floor-20</t>
        </is>
      </c>
      <c r="B99" s="7">
        <f>IFERROR(VLOOKUP($A99,商品マスタ!$A:$E,5,FALSE),"")</f>
        <v/>
      </c>
      <c r="C99" s="8" t="n">
        <v>3</v>
      </c>
      <c r="D99" s="8" t="inlineStr">
        <is>
          <t>D23</t>
        </is>
      </c>
      <c r="E99" s="106" t="inlineStr">
        <is>
          <t>#b2a697</t>
        </is>
      </c>
    </row>
    <row r="100">
      <c r="A100" s="8" t="inlineStr">
        <is>
          <t>floor-20</t>
        </is>
      </c>
      <c r="B100" s="7">
        <f>IFERROR(VLOOKUP($A100,商品マスタ!$A:$E,5,FALSE),"")</f>
        <v/>
      </c>
      <c r="C100" s="8" t="n">
        <v>4</v>
      </c>
      <c r="D100" s="8" t="inlineStr">
        <is>
          <t>D24</t>
        </is>
      </c>
      <c r="E100" s="107" t="inlineStr">
        <is>
          <t>#8f8677</t>
        </is>
      </c>
    </row>
    <row r="101">
      <c r="A101" s="8" t="inlineStr">
        <is>
          <t>floor-20</t>
        </is>
      </c>
      <c r="B101" s="7">
        <f>IFERROR(VLOOKUP($A101,商品マスタ!$A:$E,5,FALSE),"")</f>
        <v/>
      </c>
      <c r="C101" s="8" t="n">
        <v>5</v>
      </c>
      <c r="D101" s="8" t="inlineStr">
        <is>
          <t>D25</t>
        </is>
      </c>
      <c r="E101" s="108" t="inlineStr">
        <is>
          <t>#6c6f6e</t>
        </is>
      </c>
    </row>
    <row r="102">
      <c r="A102" s="8" t="inlineStr">
        <is>
          <t>floor-20</t>
        </is>
      </c>
      <c r="B102" s="7">
        <f>IFERROR(VLOOKUP($A102,商品マスタ!$A:$E,5,FALSE),"")</f>
        <v/>
      </c>
      <c r="C102" s="8" t="n">
        <v>6</v>
      </c>
      <c r="D102" s="8" t="inlineStr">
        <is>
          <t>D26</t>
        </is>
      </c>
      <c r="E102" s="109" t="inlineStr">
        <is>
          <t>#38393e</t>
        </is>
      </c>
    </row>
    <row r="103">
      <c r="A103" s="8" t="inlineStr">
        <is>
          <t>floor-21</t>
        </is>
      </c>
      <c r="B103" s="7">
        <f>IFERROR(VLOOKUP($A103,商品マスタ!$A:$E,5,FALSE),"")</f>
        <v/>
      </c>
      <c r="C103" s="8" t="n">
        <v>1</v>
      </c>
      <c r="D103" s="8" t="inlineStr">
        <is>
          <t>D11</t>
        </is>
      </c>
      <c r="E103" s="110" t="inlineStr">
        <is>
          <t>#eaddd0</t>
        </is>
      </c>
    </row>
    <row r="104">
      <c r="A104" s="8" t="inlineStr">
        <is>
          <t>floor-21</t>
        </is>
      </c>
      <c r="B104" s="7">
        <f>IFERROR(VLOOKUP($A104,商品マスタ!$A:$E,5,FALSE),"")</f>
        <v/>
      </c>
      <c r="C104" s="8" t="n">
        <v>2</v>
      </c>
      <c r="D104" s="8" t="inlineStr">
        <is>
          <t>D12</t>
        </is>
      </c>
      <c r="E104" s="111" t="inlineStr">
        <is>
          <t>#e0cfb1</t>
        </is>
      </c>
    </row>
    <row r="105">
      <c r="A105" s="8" t="inlineStr">
        <is>
          <t>floor-21</t>
        </is>
      </c>
      <c r="B105" s="7">
        <f>IFERROR(VLOOKUP($A105,商品マスタ!$A:$E,5,FALSE),"")</f>
        <v/>
      </c>
      <c r="C105" s="8" t="n">
        <v>3</v>
      </c>
      <c r="D105" s="8" t="inlineStr">
        <is>
          <t>D13</t>
        </is>
      </c>
      <c r="E105" s="112" t="inlineStr">
        <is>
          <t>#c3bfb8</t>
        </is>
      </c>
    </row>
    <row r="106">
      <c r="A106" s="8" t="inlineStr">
        <is>
          <t>floor-21</t>
        </is>
      </c>
      <c r="B106" s="7">
        <f>IFERROR(VLOOKUP($A106,商品マスタ!$A:$E,5,FALSE),"")</f>
        <v/>
      </c>
      <c r="C106" s="8" t="n">
        <v>4</v>
      </c>
      <c r="D106" s="8" t="inlineStr">
        <is>
          <t>D14</t>
        </is>
      </c>
      <c r="E106" s="113" t="inlineStr">
        <is>
          <t>#a0a09c</t>
        </is>
      </c>
    </row>
    <row r="107">
      <c r="A107" s="8" t="inlineStr">
        <is>
          <t>floor-21</t>
        </is>
      </c>
      <c r="B107" s="7">
        <f>IFERROR(VLOOKUP($A107,商品マスタ!$A:$E,5,FALSE),"")</f>
        <v/>
      </c>
      <c r="C107" s="8" t="n">
        <v>5</v>
      </c>
      <c r="D107" s="8" t="inlineStr">
        <is>
          <t>D15</t>
        </is>
      </c>
      <c r="E107" s="114" t="inlineStr">
        <is>
          <t>#6b6a64</t>
        </is>
      </c>
    </row>
    <row r="108">
      <c r="A108" s="8" t="inlineStr">
        <is>
          <t>floor-22</t>
        </is>
      </c>
      <c r="B108" s="7">
        <f>IFERROR(VLOOKUP($A108,商品マスタ!$A:$E,5,FALSE),"")</f>
        <v/>
      </c>
      <c r="C108" s="8" t="n">
        <v>1</v>
      </c>
      <c r="D108" s="8" t="inlineStr">
        <is>
          <t>01</t>
        </is>
      </c>
      <c r="E108" s="115" t="inlineStr">
        <is>
          <t>#dbd5c0</t>
        </is>
      </c>
    </row>
    <row r="109">
      <c r="A109" s="8" t="inlineStr">
        <is>
          <t>floor-22</t>
        </is>
      </c>
      <c r="B109" s="7">
        <f>IFERROR(VLOOKUP($A109,商品マスタ!$A:$E,5,FALSE),"")</f>
        <v/>
      </c>
      <c r="C109" s="8" t="n">
        <v>2</v>
      </c>
      <c r="D109" s="8" t="inlineStr">
        <is>
          <t>02</t>
        </is>
      </c>
      <c r="E109" s="116" t="inlineStr">
        <is>
          <t>#757e5e</t>
        </is>
      </c>
    </row>
    <row r="110">
      <c r="A110" s="8" t="inlineStr">
        <is>
          <t>floor-22</t>
        </is>
      </c>
      <c r="B110" s="7">
        <f>IFERROR(VLOOKUP($A110,商品マスタ!$A:$E,5,FALSE),"")</f>
        <v/>
      </c>
      <c r="C110" s="8" t="n">
        <v>3</v>
      </c>
      <c r="D110" s="8" t="inlineStr">
        <is>
          <t>56</t>
        </is>
      </c>
      <c r="E110" s="117" t="inlineStr">
        <is>
          <t>#d3c2a5</t>
        </is>
      </c>
    </row>
    <row r="111">
      <c r="A111" s="8" t="inlineStr">
        <is>
          <t>floor-22</t>
        </is>
      </c>
      <c r="B111" s="7">
        <f>IFERROR(VLOOKUP($A111,商品マスタ!$A:$E,5,FALSE),"")</f>
        <v/>
      </c>
      <c r="C111" s="8" t="n">
        <v>4</v>
      </c>
      <c r="D111" s="8" t="inlineStr">
        <is>
          <t>1378</t>
        </is>
      </c>
      <c r="E111" s="118" t="inlineStr">
        <is>
          <t>#466eac</t>
        </is>
      </c>
    </row>
    <row r="112">
      <c r="A112" s="8" t="inlineStr">
        <is>
          <t>floor-22</t>
        </is>
      </c>
      <c r="B112" s="7">
        <f>IFERROR(VLOOKUP($A112,商品マスタ!$A:$E,5,FALSE),"")</f>
        <v/>
      </c>
      <c r="C112" s="8" t="n">
        <v>5</v>
      </c>
      <c r="D112" s="8" t="inlineStr">
        <is>
          <t>202</t>
        </is>
      </c>
      <c r="E112" s="119" t="inlineStr">
        <is>
          <t>#bf8a64</t>
        </is>
      </c>
    </row>
    <row r="113">
      <c r="A113" s="8" t="inlineStr">
        <is>
          <t>floor-22</t>
        </is>
      </c>
      <c r="B113" s="7">
        <f>IFERROR(VLOOKUP($A113,商品マスタ!$A:$E,5,FALSE),"")</f>
        <v/>
      </c>
      <c r="C113" s="8" t="n">
        <v>6</v>
      </c>
      <c r="D113" s="8" t="inlineStr">
        <is>
          <t>1067</t>
        </is>
      </c>
      <c r="E113" s="120" t="inlineStr">
        <is>
          <t>#4b7377</t>
        </is>
      </c>
    </row>
    <row r="114">
      <c r="A114" s="8" t="inlineStr">
        <is>
          <t>floor-22</t>
        </is>
      </c>
      <c r="B114" s="7">
        <f>IFERROR(VLOOKUP($A114,商品マスタ!$A:$E,5,FALSE),"")</f>
        <v/>
      </c>
      <c r="C114" s="8" t="n">
        <v>7</v>
      </c>
      <c r="D114" s="8" t="inlineStr">
        <is>
          <t>06</t>
        </is>
      </c>
      <c r="E114" s="121" t="inlineStr">
        <is>
          <t>#685142</t>
        </is>
      </c>
    </row>
    <row r="115">
      <c r="A115" s="8" t="inlineStr">
        <is>
          <t>floor-22</t>
        </is>
      </c>
      <c r="B115" s="7">
        <f>IFERROR(VLOOKUP($A115,商品マスタ!$A:$E,5,FALSE),"")</f>
        <v/>
      </c>
      <c r="C115" s="8" t="n">
        <v>8</v>
      </c>
      <c r="D115" s="8" t="inlineStr">
        <is>
          <t>05</t>
        </is>
      </c>
      <c r="E115" s="122" t="inlineStr">
        <is>
          <t>#3c4661</t>
        </is>
      </c>
    </row>
    <row r="116">
      <c r="A116" s="8" t="inlineStr">
        <is>
          <t>floor-22</t>
        </is>
      </c>
      <c r="B116" s="7">
        <f>IFERROR(VLOOKUP($A116,商品マスタ!$A:$E,5,FALSE),"")</f>
        <v/>
      </c>
      <c r="C116" s="8" t="n">
        <v>9</v>
      </c>
      <c r="D116" s="8" t="inlineStr">
        <is>
          <t>45</t>
        </is>
      </c>
      <c r="E116" s="123" t="inlineStr">
        <is>
          <t>#dad6ca</t>
        </is>
      </c>
    </row>
    <row r="117">
      <c r="A117" s="8" t="inlineStr">
        <is>
          <t>floor-22</t>
        </is>
      </c>
      <c r="B117" s="7">
        <f>IFERROR(VLOOKUP($A117,商品マスタ!$A:$E,5,FALSE),"")</f>
        <v/>
      </c>
      <c r="C117" s="8" t="n">
        <v>10</v>
      </c>
      <c r="D117" s="8" t="inlineStr">
        <is>
          <t>101</t>
        </is>
      </c>
      <c r="E117" s="124" t="inlineStr">
        <is>
          <t>#e2ded1</t>
        </is>
      </c>
    </row>
    <row r="118">
      <c r="A118" s="8" t="inlineStr">
        <is>
          <t>floor-22</t>
        </is>
      </c>
      <c r="B118" s="7">
        <f>IFERROR(VLOOKUP($A118,商品マスタ!$A:$E,5,FALSE),"")</f>
        <v/>
      </c>
      <c r="C118" s="8" t="n">
        <v>11</v>
      </c>
      <c r="D118" s="8" t="inlineStr">
        <is>
          <t>105</t>
        </is>
      </c>
      <c r="E118" s="125" t="inlineStr">
        <is>
          <t>#ae8e64</t>
        </is>
      </c>
    </row>
    <row r="119">
      <c r="A119" s="8" t="inlineStr">
        <is>
          <t>floor-22</t>
        </is>
      </c>
      <c r="B119" s="7">
        <f>IFERROR(VLOOKUP($A119,商品マスタ!$A:$E,5,FALSE),"")</f>
        <v/>
      </c>
      <c r="C119" s="8" t="n">
        <v>12</v>
      </c>
      <c r="D119" s="8" t="inlineStr">
        <is>
          <t>106</t>
        </is>
      </c>
      <c r="E119" s="126" t="inlineStr">
        <is>
          <t>#c5956c</t>
        </is>
      </c>
    </row>
    <row r="120">
      <c r="A120" s="8" t="inlineStr">
        <is>
          <t>floor-22</t>
        </is>
      </c>
      <c r="B120" s="7">
        <f>IFERROR(VLOOKUP($A120,商品マスタ!$A:$E,5,FALSE),"")</f>
        <v/>
      </c>
      <c r="C120" s="8" t="n">
        <v>13</v>
      </c>
      <c r="D120" s="8" t="inlineStr">
        <is>
          <t>111</t>
        </is>
      </c>
      <c r="E120" s="127" t="inlineStr">
        <is>
          <t>#d2885d</t>
        </is>
      </c>
    </row>
    <row r="121">
      <c r="A121" s="8" t="inlineStr">
        <is>
          <t>floor-22</t>
        </is>
      </c>
      <c r="B121" s="7">
        <f>IFERROR(VLOOKUP($A121,商品マスタ!$A:$E,5,FALSE),"")</f>
        <v/>
      </c>
      <c r="C121" s="8" t="n">
        <v>14</v>
      </c>
      <c r="D121" s="8" t="inlineStr">
        <is>
          <t>102</t>
        </is>
      </c>
      <c r="E121" s="128" t="inlineStr">
        <is>
          <t>#be7072</t>
        </is>
      </c>
    </row>
    <row r="122">
      <c r="A122" s="8" t="inlineStr">
        <is>
          <t>floor-22</t>
        </is>
      </c>
      <c r="B122" s="7">
        <f>IFERROR(VLOOKUP($A122,商品マスタ!$A:$E,5,FALSE),"")</f>
        <v/>
      </c>
      <c r="C122" s="8" t="n">
        <v>15</v>
      </c>
      <c r="D122" s="8" t="inlineStr">
        <is>
          <t>1578</t>
        </is>
      </c>
      <c r="E122" s="129" t="inlineStr">
        <is>
          <t>#af856e</t>
        </is>
      </c>
    </row>
    <row r="123">
      <c r="A123" s="8" t="inlineStr">
        <is>
          <t>floor-22</t>
        </is>
      </c>
      <c r="B123" s="7">
        <f>IFERROR(VLOOKUP($A123,商品マスタ!$A:$E,5,FALSE),"")</f>
        <v/>
      </c>
      <c r="C123" s="8" t="n">
        <v>16</v>
      </c>
      <c r="D123" s="8" t="inlineStr">
        <is>
          <t>107</t>
        </is>
      </c>
      <c r="E123" s="130" t="inlineStr">
        <is>
          <t>#804243</t>
        </is>
      </c>
    </row>
    <row r="124">
      <c r="A124" s="8" t="inlineStr">
        <is>
          <t>floor-22</t>
        </is>
      </c>
      <c r="B124" s="7">
        <f>IFERROR(VLOOKUP($A124,商品マスタ!$A:$E,5,FALSE),"")</f>
        <v/>
      </c>
      <c r="C124" s="8" t="n">
        <v>17</v>
      </c>
      <c r="D124" s="8" t="inlineStr">
        <is>
          <t>110</t>
        </is>
      </c>
      <c r="E124" s="131" t="inlineStr">
        <is>
          <t>#625756</t>
        </is>
      </c>
    </row>
    <row r="125">
      <c r="A125" s="8" t="inlineStr">
        <is>
          <t>floor-22</t>
        </is>
      </c>
      <c r="B125" s="7">
        <f>IFERROR(VLOOKUP($A125,商品マスタ!$A:$E,5,FALSE),"")</f>
        <v/>
      </c>
      <c r="C125" s="8" t="n">
        <v>18</v>
      </c>
      <c r="D125" s="8" t="inlineStr">
        <is>
          <t>1889</t>
        </is>
      </c>
      <c r="E125" s="132" t="inlineStr">
        <is>
          <t>#303032</t>
        </is>
      </c>
    </row>
    <row r="126">
      <c r="A126" s="8" t="inlineStr">
        <is>
          <t>wall-01</t>
        </is>
      </c>
      <c r="B126" s="7">
        <f>IFERROR(VLOOKUP($A126,商品マスタ!$A:$E,5,FALSE),"")</f>
        <v/>
      </c>
      <c r="C126" s="8" t="n">
        <v>1</v>
      </c>
      <c r="D126" s="8" t="inlineStr">
        <is>
          <t>T1000 ホワイト色</t>
        </is>
      </c>
      <c r="E126" s="133" t="inlineStr">
        <is>
          <t>#F7F8F2</t>
        </is>
      </c>
    </row>
    <row r="127">
      <c r="A127" s="8" t="inlineStr">
        <is>
          <t>wall-01</t>
        </is>
      </c>
      <c r="B127" s="7">
        <f>IFERROR(VLOOKUP($A127,商品マスタ!$A:$E,5,FALSE),"")</f>
        <v/>
      </c>
      <c r="C127" s="8" t="n">
        <v>2</v>
      </c>
      <c r="D127" s="8" t="inlineStr">
        <is>
          <t>T1702 ウォームホワイト色</t>
        </is>
      </c>
      <c r="E127" s="134" t="inlineStr">
        <is>
          <t>#F9F5EC</t>
        </is>
      </c>
    </row>
    <row r="128">
      <c r="A128" s="8" t="inlineStr">
        <is>
          <t>wall-01</t>
        </is>
      </c>
      <c r="B128" s="7">
        <f>IFERROR(VLOOKUP($A128,商品マスタ!$A:$E,5,FALSE),"")</f>
        <v/>
      </c>
      <c r="C128" s="8" t="n">
        <v>3</v>
      </c>
      <c r="D128" s="8" t="inlineStr">
        <is>
          <t>T1020 レッドクリーム色</t>
        </is>
      </c>
      <c r="E128" s="135" t="inlineStr">
        <is>
          <t>#F3EAE3</t>
        </is>
      </c>
    </row>
    <row r="129">
      <c r="A129" s="8" t="inlineStr">
        <is>
          <t>wall-01</t>
        </is>
      </c>
      <c r="B129" s="7">
        <f>IFERROR(VLOOKUP($A129,商品マスタ!$A:$E,5,FALSE),"")</f>
        <v/>
      </c>
      <c r="C129" s="8" t="n">
        <v>4</v>
      </c>
      <c r="D129" s="8" t="inlineStr">
        <is>
          <t>T1030 イエロークリーム色</t>
        </is>
      </c>
      <c r="E129" s="136" t="inlineStr">
        <is>
          <t>#F4ECE1</t>
        </is>
      </c>
    </row>
    <row r="130">
      <c r="A130" s="8" t="inlineStr">
        <is>
          <t>wall-01</t>
        </is>
      </c>
      <c r="B130" s="7">
        <f>IFERROR(VLOOKUP($A130,商品マスタ!$A:$E,5,FALSE),"")</f>
        <v/>
      </c>
      <c r="C130" s="8" t="n">
        <v>5</v>
      </c>
      <c r="D130" s="8" t="inlineStr">
        <is>
          <t>T3001 ライトグレー色</t>
        </is>
      </c>
      <c r="E130" s="137" t="inlineStr">
        <is>
          <t>#CCCDC8</t>
        </is>
      </c>
    </row>
    <row r="131">
      <c r="A131" s="8" t="inlineStr">
        <is>
          <t>wall-01</t>
        </is>
      </c>
      <c r="B131" s="7">
        <f>IFERROR(VLOOKUP($A131,商品マスタ!$A:$E,5,FALSE),"")</f>
        <v/>
      </c>
      <c r="C131" s="8" t="n">
        <v>6</v>
      </c>
      <c r="D131" s="8" t="inlineStr">
        <is>
          <t>T5001 グレー色</t>
        </is>
      </c>
      <c r="E131" s="138" t="inlineStr">
        <is>
          <t>#828282</t>
        </is>
      </c>
    </row>
    <row r="132">
      <c r="A132" s="8" t="inlineStr">
        <is>
          <t>wall-01</t>
        </is>
      </c>
      <c r="B132" s="7">
        <f>IFERROR(VLOOKUP($A132,商品マスタ!$A:$E,5,FALSE),"")</f>
        <v/>
      </c>
      <c r="C132" s="8" t="n">
        <v>7</v>
      </c>
      <c r="D132" s="8" t="inlineStr">
        <is>
          <t>T6013 ダークグレー色</t>
        </is>
      </c>
      <c r="E132" s="139" t="inlineStr">
        <is>
          <t>#5C5C5C</t>
        </is>
      </c>
    </row>
    <row r="133">
      <c r="A133" s="8" t="inlineStr">
        <is>
          <t>wall-01</t>
        </is>
      </c>
      <c r="B133" s="7">
        <f>IFERROR(VLOOKUP($A133,商品マスタ!$A:$E,5,FALSE),"")</f>
        <v/>
      </c>
      <c r="C133" s="8" t="n">
        <v>8</v>
      </c>
      <c r="D133" s="8" t="inlineStr">
        <is>
          <t>JP-100BK ブラック色</t>
        </is>
      </c>
      <c r="E133" s="140" t="inlineStr">
        <is>
          <t>#2A292F</t>
        </is>
      </c>
    </row>
    <row r="134">
      <c r="A134" s="8" t="inlineStr">
        <is>
          <t>wall-01</t>
        </is>
      </c>
      <c r="B134" s="7">
        <f>IFERROR(VLOOKUP($A134,商品マスタ!$A:$E,5,FALSE),"")</f>
        <v/>
      </c>
      <c r="C134" s="8" t="n">
        <v>9</v>
      </c>
      <c r="D134" s="8" t="inlineStr">
        <is>
          <t>T6010 ライトブラウン色</t>
        </is>
      </c>
      <c r="E134" s="141" t="inlineStr">
        <is>
          <t>#5E4234</t>
        </is>
      </c>
    </row>
    <row r="135">
      <c r="A135" s="8" t="inlineStr">
        <is>
          <t>wall-01</t>
        </is>
      </c>
      <c r="B135" s="7">
        <f>IFERROR(VLOOKUP($A135,商品マスタ!$A:$E,5,FALSE),"")</f>
        <v/>
      </c>
      <c r="C135" s="8" t="n">
        <v>10</v>
      </c>
      <c r="D135" s="8" t="inlineStr">
        <is>
          <t>T6404 ダークブラウン色</t>
        </is>
      </c>
      <c r="E135" s="142" t="inlineStr">
        <is>
          <t>#43352C</t>
        </is>
      </c>
    </row>
    <row r="136">
      <c r="A136" s="8" t="inlineStr">
        <is>
          <t>light-01</t>
        </is>
      </c>
      <c r="B136" s="7">
        <f>IFERROR(VLOOKUP($A136,商品マスタ!$A:$E,5,FALSE),"")</f>
        <v/>
      </c>
      <c r="C136" s="8" t="n">
        <v>1</v>
      </c>
      <c r="D136" s="8" t="inlineStr">
        <is>
          <t>ステンレス</t>
        </is>
      </c>
      <c r="E136" s="143" t="inlineStr">
        <is>
          <t>#b4afb5</t>
        </is>
      </c>
    </row>
    <row r="137">
      <c r="A137" s="8" t="inlineStr">
        <is>
          <t>light-02</t>
        </is>
      </c>
      <c r="B137" s="7">
        <f>IFERROR(VLOOKUP($A137,商品マスタ!$A:$E,5,FALSE),"")</f>
        <v/>
      </c>
      <c r="C137" s="8" t="n">
        <v>1</v>
      </c>
      <c r="D137" s="8" t="inlineStr">
        <is>
          <t>シャイングレー</t>
        </is>
      </c>
      <c r="E137" s="144" t="inlineStr">
        <is>
          <t>#a8abb0</t>
        </is>
      </c>
    </row>
    <row r="138">
      <c r="A138" s="8" t="inlineStr">
        <is>
          <t>light-02</t>
        </is>
      </c>
      <c r="B138" s="7">
        <f>IFERROR(VLOOKUP($A138,商品マスタ!$A:$E,5,FALSE),"")</f>
        <v/>
      </c>
      <c r="C138" s="8" t="n">
        <v>2</v>
      </c>
      <c r="D138" s="8" t="inlineStr">
        <is>
          <t>オータムブラウン</t>
        </is>
      </c>
      <c r="E138" s="145" t="inlineStr">
        <is>
          <t>#584a45</t>
        </is>
      </c>
    </row>
    <row r="139">
      <c r="A139" s="8" t="inlineStr">
        <is>
          <t>light-02</t>
        </is>
      </c>
      <c r="B139" s="7">
        <f>IFERROR(VLOOKUP($A139,商品マスタ!$A:$E,5,FALSE),"")</f>
        <v/>
      </c>
      <c r="C139" s="8" t="n">
        <v>3</v>
      </c>
      <c r="D139" s="8" t="inlineStr">
        <is>
          <t>ブラック</t>
        </is>
      </c>
      <c r="E139" s="146" t="inlineStr">
        <is>
          <t>#050100</t>
        </is>
      </c>
    </row>
    <row r="140">
      <c r="A140" s="8" t="inlineStr">
        <is>
          <t>light-03</t>
        </is>
      </c>
      <c r="B140" s="7">
        <f>IFERROR(VLOOKUP($A140,商品マスタ!$A:$E,5,FALSE),"")</f>
        <v/>
      </c>
      <c r="C140" s="8" t="n">
        <v>1</v>
      </c>
      <c r="D140" s="8" t="inlineStr">
        <is>
          <t>シャイングレー</t>
        </is>
      </c>
      <c r="E140" s="144" t="inlineStr">
        <is>
          <t>#a8abb0</t>
        </is>
      </c>
    </row>
    <row r="141">
      <c r="A141" s="8" t="inlineStr">
        <is>
          <t>light-03</t>
        </is>
      </c>
      <c r="B141" s="7">
        <f>IFERROR(VLOOKUP($A141,商品マスタ!$A:$E,5,FALSE),"")</f>
        <v/>
      </c>
      <c r="C141" s="8" t="n">
        <v>2</v>
      </c>
      <c r="D141" s="8" t="inlineStr">
        <is>
          <t>オータムブラウン</t>
        </is>
      </c>
      <c r="E141" s="145" t="inlineStr">
        <is>
          <t>#584a45</t>
        </is>
      </c>
    </row>
    <row r="142">
      <c r="A142" s="8" t="inlineStr">
        <is>
          <t>light-03</t>
        </is>
      </c>
      <c r="B142" s="7">
        <f>IFERROR(VLOOKUP($A142,商品マスタ!$A:$E,5,FALSE),"")</f>
        <v/>
      </c>
      <c r="C142" s="8" t="n">
        <v>3</v>
      </c>
      <c r="D142" s="8" t="inlineStr">
        <is>
          <t>ブラック</t>
        </is>
      </c>
      <c r="E142" s="146" t="inlineStr">
        <is>
          <t>#050100</t>
        </is>
      </c>
    </row>
    <row r="143">
      <c r="A143" s="8" t="inlineStr">
        <is>
          <t>light-04</t>
        </is>
      </c>
      <c r="B143" s="7">
        <f>IFERROR(VLOOKUP($A143,商品マスタ!$A:$E,5,FALSE),"")</f>
        <v/>
      </c>
      <c r="C143" s="8" t="n">
        <v>1</v>
      </c>
      <c r="D143" s="8" t="inlineStr">
        <is>
          <t>シャイングレー</t>
        </is>
      </c>
      <c r="E143" s="144" t="inlineStr">
        <is>
          <t>#a8abb0</t>
        </is>
      </c>
    </row>
    <row r="144">
      <c r="A144" s="8" t="inlineStr">
        <is>
          <t>light-04</t>
        </is>
      </c>
      <c r="B144" s="7">
        <f>IFERROR(VLOOKUP($A144,商品マスタ!$A:$E,5,FALSE),"")</f>
        <v/>
      </c>
      <c r="C144" s="8" t="n">
        <v>2</v>
      </c>
      <c r="D144" s="8" t="inlineStr">
        <is>
          <t>オータムブラウン</t>
        </is>
      </c>
      <c r="E144" s="145" t="inlineStr">
        <is>
          <t>#584a45</t>
        </is>
      </c>
    </row>
    <row r="145">
      <c r="A145" s="8" t="inlineStr">
        <is>
          <t>light-04</t>
        </is>
      </c>
      <c r="B145" s="7">
        <f>IFERROR(VLOOKUP($A145,商品マスタ!$A:$E,5,FALSE),"")</f>
        <v/>
      </c>
      <c r="C145" s="8" t="n">
        <v>3</v>
      </c>
      <c r="D145" s="8" t="inlineStr">
        <is>
          <t>ブラック</t>
        </is>
      </c>
      <c r="E145" s="146" t="inlineStr">
        <is>
          <t>#050100</t>
        </is>
      </c>
    </row>
    <row r="146">
      <c r="A146" s="8" t="inlineStr">
        <is>
          <t>light-04</t>
        </is>
      </c>
      <c r="B146" s="7">
        <f>IFERROR(VLOOKUP($A146,商品マスタ!$A:$E,5,FALSE),"")</f>
        <v/>
      </c>
      <c r="C146" s="8" t="n">
        <v>4</v>
      </c>
      <c r="D146" s="8" t="inlineStr">
        <is>
          <t>クリエダーク</t>
        </is>
      </c>
      <c r="E146" s="147" t="inlineStr">
        <is>
          <t>#47221f</t>
        </is>
      </c>
    </row>
    <row r="147">
      <c r="A147" s="8" t="inlineStr">
        <is>
          <t>light-05</t>
        </is>
      </c>
      <c r="B147" s="7">
        <f>IFERROR(VLOOKUP($A147,商品マスタ!$A:$E,5,FALSE),"")</f>
        <v/>
      </c>
      <c r="C147" s="8" t="n">
        <v>1</v>
      </c>
      <c r="D147" s="8" t="inlineStr">
        <is>
          <t>オフブラック</t>
        </is>
      </c>
      <c r="E147" s="146" t="inlineStr">
        <is>
          <t>#050100</t>
        </is>
      </c>
    </row>
    <row r="148">
      <c r="A148" s="8" t="inlineStr">
        <is>
          <t>light-05</t>
        </is>
      </c>
      <c r="B148" s="7">
        <f>IFERROR(VLOOKUP($A148,商品マスタ!$A:$E,5,FALSE),"")</f>
        <v/>
      </c>
      <c r="C148" s="8" t="n">
        <v>2</v>
      </c>
      <c r="D148" s="8" t="inlineStr">
        <is>
          <t>シルバーメタリック</t>
        </is>
      </c>
      <c r="E148" s="144" t="inlineStr">
        <is>
          <t>#a8abb0</t>
        </is>
      </c>
    </row>
    <row r="149">
      <c r="A149" s="8" t="inlineStr">
        <is>
          <t>light-06</t>
        </is>
      </c>
      <c r="B149" s="7">
        <f>IFERROR(VLOOKUP($A149,商品マスタ!$A:$E,5,FALSE),"")</f>
        <v/>
      </c>
      <c r="C149" s="8" t="n">
        <v>1</v>
      </c>
      <c r="D149" s="8" t="inlineStr">
        <is>
          <t>オフブラック</t>
        </is>
      </c>
      <c r="E149" s="146" t="inlineStr">
        <is>
          <t>#050100</t>
        </is>
      </c>
    </row>
    <row r="150">
      <c r="A150" s="8" t="inlineStr">
        <is>
          <t>light-06</t>
        </is>
      </c>
      <c r="B150" s="7">
        <f>IFERROR(VLOOKUP($A150,商品マスタ!$A:$E,5,FALSE),"")</f>
        <v/>
      </c>
      <c r="C150" s="8" t="n">
        <v>2</v>
      </c>
      <c r="D150" s="8" t="inlineStr">
        <is>
          <t>シルバーメタリック</t>
        </is>
      </c>
      <c r="E150" s="144" t="inlineStr">
        <is>
          <t>#a8abb0</t>
        </is>
      </c>
    </row>
    <row r="151">
      <c r="A151" s="8" t="inlineStr">
        <is>
          <t>light-07</t>
        </is>
      </c>
      <c r="B151" s="7">
        <f>IFERROR(VLOOKUP($A151,商品マスタ!$A:$E,5,FALSE),"")</f>
        <v/>
      </c>
      <c r="C151" s="8" t="n">
        <v>1</v>
      </c>
      <c r="D151" s="8" t="inlineStr">
        <is>
          <t>オフブラック</t>
        </is>
      </c>
      <c r="E151" s="146" t="inlineStr">
        <is>
          <t>#050100</t>
        </is>
      </c>
    </row>
    <row r="152">
      <c r="A152" s="8" t="inlineStr">
        <is>
          <t>light-07</t>
        </is>
      </c>
      <c r="B152" s="7">
        <f>IFERROR(VLOOKUP($A152,商品マスタ!$A:$E,5,FALSE),"")</f>
        <v/>
      </c>
      <c r="C152" s="8" t="n">
        <v>2</v>
      </c>
      <c r="D152" s="8" t="inlineStr">
        <is>
          <t>シルバーメタリック</t>
        </is>
      </c>
      <c r="E152" s="144" t="inlineStr">
        <is>
          <t>#a8abb0</t>
        </is>
      </c>
    </row>
    <row r="153">
      <c r="A153" s="8" t="inlineStr">
        <is>
          <t>light-08</t>
        </is>
      </c>
      <c r="B153" s="7">
        <f>IFERROR(VLOOKUP($A153,商品マスタ!$A:$E,5,FALSE),"")</f>
        <v/>
      </c>
      <c r="C153" s="8" t="n">
        <v>1</v>
      </c>
      <c r="D153" s="8" t="inlineStr">
        <is>
          <t>オフブラック</t>
        </is>
      </c>
      <c r="E153" s="146" t="inlineStr">
        <is>
          <t>#050100</t>
        </is>
      </c>
    </row>
    <row r="154">
      <c r="A154" s="8" t="inlineStr">
        <is>
          <t>light-08</t>
        </is>
      </c>
      <c r="B154" s="7">
        <f>IFERROR(VLOOKUP($A154,商品マスタ!$A:$E,5,FALSE),"")</f>
        <v/>
      </c>
      <c r="C154" s="8" t="n">
        <v>2</v>
      </c>
      <c r="D154" s="8" t="inlineStr">
        <is>
          <t>シルバーメタリック</t>
        </is>
      </c>
      <c r="E154" s="144" t="inlineStr">
        <is>
          <t>#a8abb0</t>
        </is>
      </c>
    </row>
    <row r="155">
      <c r="A155" s="8" t="inlineStr">
        <is>
          <t>light-09</t>
        </is>
      </c>
      <c r="B155" s="7">
        <f>IFERROR(VLOOKUP($A155,商品マスタ!$A:$E,5,FALSE),"")</f>
        <v/>
      </c>
      <c r="C155" s="8" t="n">
        <v>1</v>
      </c>
      <c r="D155" s="8" t="inlineStr">
        <is>
          <t>オフブラック</t>
        </is>
      </c>
      <c r="E155" s="146" t="inlineStr">
        <is>
          <t>#050100</t>
        </is>
      </c>
    </row>
    <row r="156">
      <c r="A156" s="8" t="inlineStr">
        <is>
          <t>light-09</t>
        </is>
      </c>
      <c r="B156" s="7">
        <f>IFERROR(VLOOKUP($A156,商品マスタ!$A:$E,5,FALSE),"")</f>
        <v/>
      </c>
      <c r="C156" s="8" t="n">
        <v>2</v>
      </c>
      <c r="D156" s="8" t="inlineStr">
        <is>
          <t>シルバーメタリック</t>
        </is>
      </c>
      <c r="E156" s="144" t="inlineStr">
        <is>
          <t>#a8abb0</t>
        </is>
      </c>
    </row>
    <row r="157">
      <c r="A157" s="8" t="inlineStr">
        <is>
          <t>post-01</t>
        </is>
      </c>
      <c r="B157" s="7">
        <f>IFERROR(VLOOKUP($A157,商品マスタ!$A:$E,5,FALSE),"")</f>
        <v/>
      </c>
      <c r="C157" s="8" t="n">
        <v>1</v>
      </c>
      <c r="D157" s="8" t="inlineStr">
        <is>
          <t>フロストブラック</t>
        </is>
      </c>
      <c r="E157" s="148" t="inlineStr">
        <is>
          <t>#0f0f10</t>
        </is>
      </c>
    </row>
    <row r="158">
      <c r="A158" s="8" t="inlineStr">
        <is>
          <t>post-01</t>
        </is>
      </c>
      <c r="B158" s="7">
        <f>IFERROR(VLOOKUP($A158,商品マスタ!$A:$E,5,FALSE),"")</f>
        <v/>
      </c>
      <c r="C158" s="8" t="n">
        <v>2</v>
      </c>
      <c r="D158" s="8" t="inlineStr">
        <is>
          <t>フロストチャコールグレー</t>
        </is>
      </c>
      <c r="E158" s="149" t="inlineStr">
        <is>
          <t>#44484a</t>
        </is>
      </c>
    </row>
    <row r="159">
      <c r="A159" s="8" t="inlineStr">
        <is>
          <t>post-01</t>
        </is>
      </c>
      <c r="B159" s="7">
        <f>IFERROR(VLOOKUP($A159,商品マスタ!$A:$E,5,FALSE),"")</f>
        <v/>
      </c>
      <c r="C159" s="8" t="n">
        <v>3</v>
      </c>
      <c r="D159" s="8" t="inlineStr">
        <is>
          <t>フロストグレージュ</t>
        </is>
      </c>
      <c r="E159" s="150" t="inlineStr">
        <is>
          <t>#b4b1a6</t>
        </is>
      </c>
    </row>
    <row r="160">
      <c r="A160" s="8" t="inlineStr">
        <is>
          <t>post-01</t>
        </is>
      </c>
      <c r="B160" s="7">
        <f>IFERROR(VLOOKUP($A160,商品マスタ!$A:$E,5,FALSE),"")</f>
        <v/>
      </c>
      <c r="C160" s="8" t="n">
        <v>4</v>
      </c>
      <c r="D160" s="8" t="inlineStr">
        <is>
          <t>2026ブルースモーク</t>
        </is>
      </c>
      <c r="E160" s="151" t="inlineStr">
        <is>
          <t>#7d8d8d</t>
        </is>
      </c>
    </row>
    <row r="161">
      <c r="A161" s="8" t="inlineStr">
        <is>
          <t>post-01</t>
        </is>
      </c>
      <c r="B161" s="7">
        <f>IFERROR(VLOOKUP($A161,商品マスタ!$A:$E,5,FALSE),"")</f>
        <v/>
      </c>
      <c r="C161" s="8" t="n">
        <v>5</v>
      </c>
      <c r="D161" s="8" t="inlineStr">
        <is>
          <t>2026アッシュグレー</t>
        </is>
      </c>
      <c r="E161" s="152" t="inlineStr">
        <is>
          <t>#4a4d56</t>
        </is>
      </c>
    </row>
    <row r="162">
      <c r="A162" s="8" t="inlineStr">
        <is>
          <t>post-01</t>
        </is>
      </c>
      <c r="B162" s="7">
        <f>IFERROR(VLOOKUP($A162,商品マスタ!$A:$E,5,FALSE),"")</f>
        <v/>
      </c>
      <c r="C162" s="8" t="n">
        <v>6</v>
      </c>
      <c r="D162" s="8" t="inlineStr">
        <is>
          <t>フロストロイヤルレッド</t>
        </is>
      </c>
      <c r="E162" s="153" t="inlineStr">
        <is>
          <t>#8d192c</t>
        </is>
      </c>
    </row>
    <row r="163">
      <c r="A163" s="8" t="inlineStr">
        <is>
          <t>post-01</t>
        </is>
      </c>
      <c r="B163" s="7">
        <f>IFERROR(VLOOKUP($A163,商品マスタ!$A:$E,5,FALSE),"")</f>
        <v/>
      </c>
      <c r="C163" s="8" t="n">
        <v>7</v>
      </c>
      <c r="D163" s="8" t="inlineStr">
        <is>
          <t>フロストホワイト</t>
        </is>
      </c>
      <c r="E163" s="154" t="inlineStr">
        <is>
          <t>#e6e6e6</t>
        </is>
      </c>
    </row>
    <row r="164">
      <c r="A164" s="8" t="inlineStr">
        <is>
          <t>post-01</t>
        </is>
      </c>
      <c r="B164" s="7">
        <f>IFERROR(VLOOKUP($A164,商品マスタ!$A:$E,5,FALSE),"")</f>
        <v/>
      </c>
      <c r="C164" s="8" t="n">
        <v>8</v>
      </c>
      <c r="D164" s="8" t="inlineStr">
        <is>
          <t>フロストシルバー</t>
        </is>
      </c>
      <c r="E164" s="155" t="inlineStr">
        <is>
          <t>#d1d0d5</t>
        </is>
      </c>
    </row>
    <row r="165">
      <c r="A165" s="8" t="inlineStr">
        <is>
          <t>post-01</t>
        </is>
      </c>
      <c r="B165" s="7">
        <f>IFERROR(VLOOKUP($A165,商品マスタ!$A:$E,5,FALSE),"")</f>
        <v/>
      </c>
      <c r="C165" s="8" t="n">
        <v>9</v>
      </c>
      <c r="D165" s="8" t="inlineStr">
        <is>
          <t>グラスグリーン</t>
        </is>
      </c>
      <c r="E165" s="156" t="inlineStr">
        <is>
          <t>#244e32</t>
        </is>
      </c>
    </row>
    <row r="166">
      <c r="A166" s="8" t="inlineStr">
        <is>
          <t>post-01</t>
        </is>
      </c>
      <c r="B166" s="7">
        <f>IFERROR(VLOOKUP($A166,商品マスタ!$A:$E,5,FALSE),"")</f>
        <v/>
      </c>
      <c r="C166" s="8" t="n">
        <v>10</v>
      </c>
      <c r="D166" s="8" t="inlineStr">
        <is>
          <t>フロストブラウン</t>
        </is>
      </c>
      <c r="E166" s="157" t="inlineStr">
        <is>
          <t>#402e27</t>
        </is>
      </c>
    </row>
    <row r="167">
      <c r="A167" s="8" t="inlineStr">
        <is>
          <t>post-02</t>
        </is>
      </c>
      <c r="B167" s="7">
        <f>IFERROR(VLOOKUP($A167,商品マスタ!$A:$E,5,FALSE),"")</f>
        <v/>
      </c>
      <c r="C167" s="8" t="n">
        <v>1</v>
      </c>
      <c r="D167" s="8" t="inlineStr">
        <is>
          <t>シャンパーニュピンク</t>
        </is>
      </c>
      <c r="E167" s="158" t="inlineStr">
        <is>
          <t>#dcb08d</t>
        </is>
      </c>
    </row>
    <row r="168">
      <c r="A168" s="8" t="inlineStr">
        <is>
          <t>post-02</t>
        </is>
      </c>
      <c r="B168" s="7">
        <f>IFERROR(VLOOKUP($A168,商品マスタ!$A:$E,5,FALSE),"")</f>
        <v/>
      </c>
      <c r="C168" s="8" t="n">
        <v>2</v>
      </c>
      <c r="D168" s="8" t="inlineStr">
        <is>
          <t>アンティークホワイト</t>
        </is>
      </c>
      <c r="E168" s="159" t="inlineStr">
        <is>
          <t>#f6f0de</t>
        </is>
      </c>
    </row>
    <row r="169">
      <c r="A169" s="8" t="inlineStr">
        <is>
          <t>post-02</t>
        </is>
      </c>
      <c r="B169" s="7">
        <f>IFERROR(VLOOKUP($A169,商品マスタ!$A:$E,5,FALSE),"")</f>
        <v/>
      </c>
      <c r="C169" s="8" t="n">
        <v>3</v>
      </c>
      <c r="D169" s="8" t="inlineStr">
        <is>
          <t>オークルブラウン</t>
        </is>
      </c>
      <c r="E169" s="160" t="inlineStr">
        <is>
          <t>#a1836d</t>
        </is>
      </c>
    </row>
    <row r="170">
      <c r="A170" s="8" t="inlineStr">
        <is>
          <t>post-03</t>
        </is>
      </c>
      <c r="B170" s="7">
        <f>IFERROR(VLOOKUP($A170,商品マスタ!$A:$E,5,FALSE),"")</f>
        <v/>
      </c>
      <c r="C170" s="8" t="n">
        <v>1</v>
      </c>
      <c r="D170" s="8" t="inlineStr">
        <is>
          <t>シャンパーニュピンク</t>
        </is>
      </c>
      <c r="E170" s="158" t="inlineStr">
        <is>
          <t>#dcb08d</t>
        </is>
      </c>
    </row>
    <row r="171">
      <c r="A171" s="8" t="inlineStr">
        <is>
          <t>post-03</t>
        </is>
      </c>
      <c r="B171" s="7">
        <f>IFERROR(VLOOKUP($A171,商品マスタ!$A:$E,5,FALSE),"")</f>
        <v/>
      </c>
      <c r="C171" s="8" t="n">
        <v>2</v>
      </c>
      <c r="D171" s="8" t="inlineStr">
        <is>
          <t>オークルブラウン</t>
        </is>
      </c>
      <c r="E171" s="160" t="inlineStr">
        <is>
          <t>#a1836d</t>
        </is>
      </c>
    </row>
    <row r="172">
      <c r="A172" s="8" t="inlineStr">
        <is>
          <t>post-04</t>
        </is>
      </c>
      <c r="B172" s="7">
        <f>IFERROR(VLOOKUP($A172,商品マスタ!$A:$E,5,FALSE),"")</f>
        <v/>
      </c>
      <c r="C172" s="8" t="n">
        <v>1</v>
      </c>
      <c r="D172" s="8" t="inlineStr">
        <is>
          <t>オータムブラウン</t>
        </is>
      </c>
      <c r="E172" s="145" t="inlineStr">
        <is>
          <t>#584a45</t>
        </is>
      </c>
    </row>
    <row r="173">
      <c r="A173" s="8" t="inlineStr">
        <is>
          <t>post-04</t>
        </is>
      </c>
      <c r="B173" s="7">
        <f>IFERROR(VLOOKUP($A173,商品マスタ!$A:$E,5,FALSE),"")</f>
        <v/>
      </c>
      <c r="C173" s="8" t="n">
        <v>2</v>
      </c>
      <c r="D173" s="8" t="inlineStr">
        <is>
          <t>シャイングレー</t>
        </is>
      </c>
      <c r="E173" s="144" t="inlineStr">
        <is>
          <t>#a8abb0</t>
        </is>
      </c>
    </row>
    <row r="174">
      <c r="A174" s="8" t="inlineStr">
        <is>
          <t>post-04</t>
        </is>
      </c>
      <c r="B174" s="7">
        <f>IFERROR(VLOOKUP($A174,商品マスタ!$A:$E,5,FALSE),"")</f>
        <v/>
      </c>
      <c r="C174" s="8" t="n">
        <v>3</v>
      </c>
      <c r="D174" s="8" t="inlineStr">
        <is>
          <t>ブラック</t>
        </is>
      </c>
      <c r="E174" s="146" t="inlineStr">
        <is>
          <t>#050100</t>
        </is>
      </c>
    </row>
    <row r="175">
      <c r="A175" s="8" t="inlineStr">
        <is>
          <t>post-04</t>
        </is>
      </c>
      <c r="B175" s="7">
        <f>IFERROR(VLOOKUP($A175,商品マスタ!$A:$E,5,FALSE),"")</f>
        <v/>
      </c>
      <c r="C175" s="8" t="n">
        <v>4</v>
      </c>
      <c r="D175" s="8" t="inlineStr">
        <is>
          <t>ホワイト</t>
        </is>
      </c>
      <c r="E175" s="161" t="inlineStr">
        <is>
          <t>#f5f5f5</t>
        </is>
      </c>
    </row>
    <row r="176">
      <c r="A176" s="8" t="inlineStr">
        <is>
          <t>post-04</t>
        </is>
      </c>
      <c r="B176" s="7">
        <f>IFERROR(VLOOKUP($A176,商品マスタ!$A:$E,5,FALSE),"")</f>
        <v/>
      </c>
      <c r="C176" s="8" t="n">
        <v>5</v>
      </c>
      <c r="D176" s="8" t="inlineStr">
        <is>
          <t>ナチュラルシルバー</t>
        </is>
      </c>
      <c r="E176" s="162" t="inlineStr">
        <is>
          <t>#d6d3d2</t>
        </is>
      </c>
    </row>
    <row r="177">
      <c r="A177" s="8" t="inlineStr">
        <is>
          <t>post-04</t>
        </is>
      </c>
      <c r="B177" s="7">
        <f>IFERROR(VLOOKUP($A177,商品マスタ!$A:$E,5,FALSE),"")</f>
        <v/>
      </c>
      <c r="C177" s="8" t="n">
        <v>6</v>
      </c>
      <c r="D177" s="8" t="inlineStr">
        <is>
          <t>フロスティホワイト</t>
        </is>
      </c>
      <c r="E177" s="163" t="inlineStr">
        <is>
          <t>#eff0f2</t>
        </is>
      </c>
    </row>
    <row r="178">
      <c r="A178" s="8" t="inlineStr">
        <is>
          <t>post-05</t>
        </is>
      </c>
      <c r="B178" s="7">
        <f>IFERROR(VLOOKUP($A178,商品マスタ!$A:$E,5,FALSE),"")</f>
        <v/>
      </c>
      <c r="C178" s="8" t="n">
        <v>1</v>
      </c>
      <c r="D178" s="8" t="inlineStr">
        <is>
          <t>レッド</t>
        </is>
      </c>
      <c r="E178" s="164" t="inlineStr">
        <is>
          <t>#c31c21</t>
        </is>
      </c>
    </row>
    <row r="179">
      <c r="A179" s="8" t="inlineStr">
        <is>
          <t>post-05</t>
        </is>
      </c>
      <c r="B179" s="7">
        <f>IFERROR(VLOOKUP($A179,商品マスタ!$A:$E,5,FALSE),"")</f>
        <v/>
      </c>
      <c r="C179" s="8" t="n">
        <v>2</v>
      </c>
      <c r="D179" s="8" t="inlineStr">
        <is>
          <t>フロストロイヤルレッド</t>
        </is>
      </c>
      <c r="E179" s="153" t="inlineStr">
        <is>
          <t>#8d192c</t>
        </is>
      </c>
    </row>
    <row r="180">
      <c r="A180" s="8" t="inlineStr">
        <is>
          <t>post-05</t>
        </is>
      </c>
      <c r="B180" s="7">
        <f>IFERROR(VLOOKUP($A180,商品マスタ!$A:$E,5,FALSE),"")</f>
        <v/>
      </c>
      <c r="C180" s="8" t="n">
        <v>3</v>
      </c>
      <c r="D180" s="8" t="inlineStr">
        <is>
          <t>フロストチャコールグレー</t>
        </is>
      </c>
      <c r="E180" s="149" t="inlineStr">
        <is>
          <t>#44484a</t>
        </is>
      </c>
    </row>
    <row r="181">
      <c r="A181" s="8" t="inlineStr">
        <is>
          <t>post-05</t>
        </is>
      </c>
      <c r="B181" s="7">
        <f>IFERROR(VLOOKUP($A181,商品マスタ!$A:$E,5,FALSE),"")</f>
        <v/>
      </c>
      <c r="C181" s="8" t="n">
        <v>4</v>
      </c>
      <c r="D181" s="8" t="inlineStr">
        <is>
          <t>フロストブラック</t>
        </is>
      </c>
      <c r="E181" s="165" t="inlineStr">
        <is>
          <t>#111112</t>
        </is>
      </c>
    </row>
    <row r="182">
      <c r="A182" s="8" t="inlineStr">
        <is>
          <t>post-05</t>
        </is>
      </c>
      <c r="B182" s="7">
        <f>IFERROR(VLOOKUP($A182,商品マスタ!$A:$E,5,FALSE),"")</f>
        <v/>
      </c>
      <c r="C182" s="8" t="n">
        <v>5</v>
      </c>
      <c r="D182" s="8" t="inlineStr">
        <is>
          <t>ダークグリーン</t>
        </is>
      </c>
      <c r="E182" s="166" t="inlineStr">
        <is>
          <t>#233e34</t>
        </is>
      </c>
    </row>
    <row r="183">
      <c r="A183" s="8" t="inlineStr">
        <is>
          <t>post-05</t>
        </is>
      </c>
      <c r="B183" s="7">
        <f>IFERROR(VLOOKUP($A183,商品マスタ!$A:$E,5,FALSE),"")</f>
        <v/>
      </c>
      <c r="C183" s="8" t="n">
        <v>6</v>
      </c>
      <c r="D183" s="8" t="inlineStr">
        <is>
          <t>タンベージュ</t>
        </is>
      </c>
      <c r="E183" s="167" t="inlineStr">
        <is>
          <t>#a8a18f</t>
        </is>
      </c>
    </row>
    <row r="184">
      <c r="A184" s="8" t="inlineStr">
        <is>
          <t>post-05</t>
        </is>
      </c>
      <c r="B184" s="7">
        <f>IFERROR(VLOOKUP($A184,商品マスタ!$A:$E,5,FALSE),"")</f>
        <v/>
      </c>
      <c r="C184" s="8" t="n">
        <v>7</v>
      </c>
      <c r="D184" s="8" t="inlineStr">
        <is>
          <t>フロストグレージュ</t>
        </is>
      </c>
      <c r="E184" s="150" t="inlineStr">
        <is>
          <t>#b4b1a6</t>
        </is>
      </c>
    </row>
    <row r="185">
      <c r="A185" s="8" t="inlineStr">
        <is>
          <t>post-05</t>
        </is>
      </c>
      <c r="B185" s="7">
        <f>IFERROR(VLOOKUP($A185,商品マスタ!$A:$E,5,FALSE),"")</f>
        <v/>
      </c>
      <c r="C185" s="8" t="n">
        <v>8</v>
      </c>
      <c r="D185" s="8" t="inlineStr">
        <is>
          <t>ブルースモーク</t>
        </is>
      </c>
      <c r="E185" s="168" t="inlineStr">
        <is>
          <t>#89989d</t>
        </is>
      </c>
    </row>
    <row r="186">
      <c r="A186" s="8" t="inlineStr">
        <is>
          <t>post-05</t>
        </is>
      </c>
      <c r="B186" s="7">
        <f>IFERROR(VLOOKUP($A186,商品マスタ!$A:$E,5,FALSE),"")</f>
        <v/>
      </c>
      <c r="C186" s="8" t="n">
        <v>9</v>
      </c>
      <c r="D186" s="8" t="inlineStr">
        <is>
          <t>アッシュグレー</t>
        </is>
      </c>
      <c r="E186" s="169" t="inlineStr">
        <is>
          <t>#404955</t>
        </is>
      </c>
    </row>
    <row r="187">
      <c r="A187" s="8" t="inlineStr">
        <is>
          <t>post-06</t>
        </is>
      </c>
      <c r="B187" s="7">
        <f>IFERROR(VLOOKUP($A187,商品マスタ!$A:$E,5,FALSE),"")</f>
        <v/>
      </c>
      <c r="C187" s="8" t="n">
        <v>1</v>
      </c>
      <c r="D187" s="8" t="inlineStr">
        <is>
          <t>ブラック</t>
        </is>
      </c>
      <c r="E187" s="170" t="inlineStr">
        <is>
          <t>#04090c</t>
        </is>
      </c>
    </row>
    <row r="188">
      <c r="A188" s="8" t="inlineStr">
        <is>
          <t>post-06</t>
        </is>
      </c>
      <c r="B188" s="7">
        <f>IFERROR(VLOOKUP($A188,商品マスタ!$A:$E,5,FALSE),"")</f>
        <v/>
      </c>
      <c r="C188" s="8" t="n">
        <v>2</v>
      </c>
      <c r="D188" s="8" t="inlineStr">
        <is>
          <t>ホワイト</t>
        </is>
      </c>
      <c r="E188" s="161" t="inlineStr">
        <is>
          <t>#f5f5f5</t>
        </is>
      </c>
    </row>
    <row r="189">
      <c r="A189" s="8" t="inlineStr">
        <is>
          <t>post-06</t>
        </is>
      </c>
      <c r="B189" s="7">
        <f>IFERROR(VLOOKUP($A189,商品マスタ!$A:$E,5,FALSE),"")</f>
        <v/>
      </c>
      <c r="C189" s="8" t="n">
        <v>3</v>
      </c>
      <c r="D189" s="8" t="inlineStr">
        <is>
          <t>ネイビーブルー</t>
        </is>
      </c>
      <c r="E189" s="171" t="inlineStr">
        <is>
          <t>#1a3c6a</t>
        </is>
      </c>
    </row>
    <row r="190">
      <c r="A190" s="8" t="inlineStr">
        <is>
          <t>post-06</t>
        </is>
      </c>
      <c r="B190" s="7">
        <f>IFERROR(VLOOKUP($A190,商品マスタ!$A:$E,5,FALSE),"")</f>
        <v/>
      </c>
      <c r="C190" s="8" t="n">
        <v>4</v>
      </c>
      <c r="D190" s="8" t="inlineStr">
        <is>
          <t>ダークグリーン</t>
        </is>
      </c>
      <c r="E190" s="172" t="inlineStr">
        <is>
          <t>#263e30</t>
        </is>
      </c>
    </row>
    <row r="191">
      <c r="A191" s="8" t="inlineStr">
        <is>
          <t>post-06</t>
        </is>
      </c>
      <c r="B191" s="7">
        <f>IFERROR(VLOOKUP($A191,商品マスタ!$A:$E,5,FALSE),"")</f>
        <v/>
      </c>
      <c r="C191" s="8" t="n">
        <v>5</v>
      </c>
      <c r="D191" s="8" t="inlineStr">
        <is>
          <t>レッド</t>
        </is>
      </c>
      <c r="E191" s="173" t="inlineStr">
        <is>
          <t>#c82525</t>
        </is>
      </c>
    </row>
    <row r="192">
      <c r="A192" s="8" t="inlineStr">
        <is>
          <t>post-06</t>
        </is>
      </c>
      <c r="B192" s="7">
        <f>IFERROR(VLOOKUP($A192,商品マスタ!$A:$E,5,FALSE),"")</f>
        <v/>
      </c>
      <c r="C192" s="8" t="n">
        <v>6</v>
      </c>
      <c r="D192" s="8" t="inlineStr">
        <is>
          <t>ボルドー</t>
        </is>
      </c>
      <c r="E192" s="174" t="inlineStr">
        <is>
          <t>#8b233b</t>
        </is>
      </c>
    </row>
    <row r="193">
      <c r="A193" s="8" t="inlineStr">
        <is>
          <t>post-06</t>
        </is>
      </c>
      <c r="B193" s="7">
        <f>IFERROR(VLOOKUP($A193,商品マスタ!$A:$E,5,FALSE),"")</f>
        <v/>
      </c>
      <c r="C193" s="8" t="n">
        <v>7</v>
      </c>
      <c r="D193" s="8" t="inlineStr">
        <is>
          <t>ショコラ</t>
        </is>
      </c>
      <c r="E193" s="175" t="inlineStr">
        <is>
          <t>#3c1d17</t>
        </is>
      </c>
    </row>
    <row r="194">
      <c r="A194" s="8" t="inlineStr">
        <is>
          <t>post-06</t>
        </is>
      </c>
      <c r="B194" s="7">
        <f>IFERROR(VLOOKUP($A194,商品マスタ!$A:$E,5,FALSE),"")</f>
        <v/>
      </c>
      <c r="C194" s="8" t="n">
        <v>8</v>
      </c>
      <c r="D194" s="8" t="inlineStr">
        <is>
          <t>アイスグリーン</t>
        </is>
      </c>
      <c r="E194" s="176" t="inlineStr">
        <is>
          <t>#a0c8bb</t>
        </is>
      </c>
    </row>
    <row r="195">
      <c r="A195" s="8" t="inlineStr">
        <is>
          <t>post-06</t>
        </is>
      </c>
      <c r="B195" s="7">
        <f>IFERROR(VLOOKUP($A195,商品マスタ!$A:$E,5,FALSE),"")</f>
        <v/>
      </c>
      <c r="C195" s="8" t="n">
        <v>9</v>
      </c>
      <c r="D195" s="8" t="inlineStr">
        <is>
          <t>メロンイエロー</t>
        </is>
      </c>
      <c r="E195" s="177" t="inlineStr">
        <is>
          <t>#f4bc1c</t>
        </is>
      </c>
    </row>
    <row r="196">
      <c r="A196" s="8" t="inlineStr">
        <is>
          <t>post-06</t>
        </is>
      </c>
      <c r="B196" s="7">
        <f>IFERROR(VLOOKUP($A196,商品マスタ!$A:$E,5,FALSE),"")</f>
        <v/>
      </c>
      <c r="C196" s="8" t="n">
        <v>10</v>
      </c>
      <c r="D196" s="8" t="inlineStr">
        <is>
          <t>プリズムローズ</t>
        </is>
      </c>
      <c r="E196" s="178" t="inlineStr">
        <is>
          <t>#ded6be</t>
        </is>
      </c>
    </row>
    <row r="197">
      <c r="A197" s="8" t="inlineStr">
        <is>
          <t>post-06</t>
        </is>
      </c>
      <c r="B197" s="7">
        <f>IFERROR(VLOOKUP($A197,商品マスタ!$A:$E,5,FALSE),"")</f>
        <v/>
      </c>
      <c r="C197" s="8" t="n">
        <v>11</v>
      </c>
      <c r="D197" s="8" t="inlineStr">
        <is>
          <t>オリーブ</t>
        </is>
      </c>
      <c r="E197" s="179" t="inlineStr">
        <is>
          <t>#979580</t>
        </is>
      </c>
    </row>
    <row r="198">
      <c r="A198" s="8" t="inlineStr">
        <is>
          <t>post-06</t>
        </is>
      </c>
      <c r="B198" s="7">
        <f>IFERROR(VLOOKUP($A198,商品マスタ!$A:$E,5,FALSE),"")</f>
        <v/>
      </c>
      <c r="C198" s="8" t="n">
        <v>12</v>
      </c>
      <c r="D198" s="8" t="inlineStr">
        <is>
          <t>スモーキーグレー</t>
        </is>
      </c>
      <c r="E198" s="180" t="inlineStr">
        <is>
          <t>#61666a</t>
        </is>
      </c>
    </row>
    <row r="199">
      <c r="A199" s="8" t="inlineStr">
        <is>
          <t>post-07</t>
        </is>
      </c>
      <c r="B199" s="7">
        <f>IFERROR(VLOOKUP($A199,商品マスタ!$A:$E,5,FALSE),"")</f>
        <v/>
      </c>
      <c r="C199" s="8" t="n">
        <v>1</v>
      </c>
      <c r="D199" s="8" t="inlineStr">
        <is>
          <t>鋳鉄ブラック</t>
        </is>
      </c>
      <c r="E199" s="148" t="inlineStr">
        <is>
          <t>#0f0f10</t>
        </is>
      </c>
    </row>
    <row r="200">
      <c r="A200" s="8" t="inlineStr">
        <is>
          <t>post-07</t>
        </is>
      </c>
      <c r="B200" s="7">
        <f>IFERROR(VLOOKUP($A200,商品マスタ!$A:$E,5,FALSE),"")</f>
        <v/>
      </c>
      <c r="C200" s="8" t="n">
        <v>2</v>
      </c>
      <c r="D200" s="8" t="inlineStr">
        <is>
          <t>ステンシルバー</t>
        </is>
      </c>
      <c r="E200" s="181" t="inlineStr">
        <is>
          <t>#878380</t>
        </is>
      </c>
    </row>
    <row r="201">
      <c r="A201" s="8" t="inlineStr">
        <is>
          <t>post-07</t>
        </is>
      </c>
      <c r="B201" s="7">
        <f>IFERROR(VLOOKUP($A201,商品マスタ!$A:$E,5,FALSE),"")</f>
        <v/>
      </c>
      <c r="C201" s="8" t="n">
        <v>3</v>
      </c>
      <c r="D201" s="8" t="inlineStr">
        <is>
          <t>漆喰ホワイト</t>
        </is>
      </c>
      <c r="E201" s="161" t="inlineStr">
        <is>
          <t>#f5f5f5</t>
        </is>
      </c>
    </row>
    <row r="202">
      <c r="A202" s="8" t="inlineStr">
        <is>
          <t>post-07</t>
        </is>
      </c>
      <c r="B202" s="7">
        <f>IFERROR(VLOOKUP($A202,商品マスタ!$A:$E,5,FALSE),"")</f>
        <v/>
      </c>
      <c r="C202" s="8" t="n">
        <v>4</v>
      </c>
      <c r="D202" s="8" t="inlineStr">
        <is>
          <t>エイジングブラウン</t>
        </is>
      </c>
      <c r="E202" s="182" t="inlineStr">
        <is>
          <t>#382c2a</t>
        </is>
      </c>
    </row>
    <row r="203">
      <c r="A203" s="8" t="inlineStr">
        <is>
          <t>post-08</t>
        </is>
      </c>
      <c r="B203" s="7">
        <f>IFERROR(VLOOKUP($A203,商品マスタ!$A:$E,5,FALSE),"")</f>
        <v/>
      </c>
      <c r="C203" s="8" t="n">
        <v>1</v>
      </c>
      <c r="D203" s="8" t="inlineStr">
        <is>
          <t>マットホワイト</t>
        </is>
      </c>
      <c r="E203" s="161" t="inlineStr">
        <is>
          <t>#f5f5f5</t>
        </is>
      </c>
    </row>
    <row r="204">
      <c r="A204" s="8" t="inlineStr">
        <is>
          <t>post-08</t>
        </is>
      </c>
      <c r="B204" s="7">
        <f>IFERROR(VLOOKUP($A204,商品マスタ!$A:$E,5,FALSE),"")</f>
        <v/>
      </c>
      <c r="C204" s="8" t="n">
        <v>2</v>
      </c>
      <c r="D204" s="8" t="inlineStr">
        <is>
          <t>マットベージュ</t>
        </is>
      </c>
      <c r="E204" s="183" t="inlineStr">
        <is>
          <t>#bbb2a0</t>
        </is>
      </c>
    </row>
    <row r="205">
      <c r="A205" s="8" t="inlineStr">
        <is>
          <t>post-08</t>
        </is>
      </c>
      <c r="B205" s="7">
        <f>IFERROR(VLOOKUP($A205,商品マスタ!$A:$E,5,FALSE),"")</f>
        <v/>
      </c>
      <c r="C205" s="8" t="n">
        <v>3</v>
      </c>
      <c r="D205" s="8" t="inlineStr">
        <is>
          <t>マットブラック</t>
        </is>
      </c>
      <c r="E205" s="165" t="inlineStr">
        <is>
          <t>#111112</t>
        </is>
      </c>
    </row>
    <row r="206">
      <c r="A206" s="8" t="inlineStr">
        <is>
          <t>post-08</t>
        </is>
      </c>
      <c r="B206" s="7">
        <f>IFERROR(VLOOKUP($A206,商品マスタ!$A:$E,5,FALSE),"")</f>
        <v/>
      </c>
      <c r="C206" s="8" t="n">
        <v>4</v>
      </c>
      <c r="D206" s="8" t="inlineStr">
        <is>
          <t>メタルブラウン</t>
        </is>
      </c>
      <c r="E206" s="184" t="inlineStr">
        <is>
          <t>#82715d</t>
        </is>
      </c>
    </row>
    <row r="207">
      <c r="A207" s="8" t="inlineStr">
        <is>
          <t>post-08</t>
        </is>
      </c>
      <c r="B207" s="7">
        <f>IFERROR(VLOOKUP($A207,商品マスタ!$A:$E,5,FALSE),"")</f>
        <v/>
      </c>
      <c r="C207" s="8" t="n">
        <v>5</v>
      </c>
      <c r="D207" s="8" t="inlineStr">
        <is>
          <t>メタルグレー</t>
        </is>
      </c>
      <c r="E207" s="185" t="inlineStr">
        <is>
          <t>#64615c</t>
        </is>
      </c>
    </row>
    <row r="208">
      <c r="A208" s="8" t="inlineStr">
        <is>
          <t>post-08</t>
        </is>
      </c>
      <c r="B208" s="7">
        <f>IFERROR(VLOOKUP($A208,商品マスタ!$A:$E,5,FALSE),"")</f>
        <v/>
      </c>
      <c r="C208" s="8" t="n">
        <v>6</v>
      </c>
      <c r="D208" s="8" t="inlineStr">
        <is>
          <t>シャインチーク</t>
        </is>
      </c>
      <c r="E208" s="186" t="inlineStr">
        <is>
          <t>#d1bca4</t>
        </is>
      </c>
    </row>
    <row r="209">
      <c r="A209" s="8" t="inlineStr">
        <is>
          <t>post-08</t>
        </is>
      </c>
      <c r="B209" s="7">
        <f>IFERROR(VLOOKUP($A209,商品マスタ!$A:$E,5,FALSE),"")</f>
        <v/>
      </c>
      <c r="C209" s="8" t="n">
        <v>7</v>
      </c>
      <c r="D209" s="8" t="inlineStr">
        <is>
          <t>アニグレ</t>
        </is>
      </c>
      <c r="E209" s="187" t="inlineStr">
        <is>
          <t>#946b47</t>
        </is>
      </c>
    </row>
    <row r="210">
      <c r="A210" s="8" t="inlineStr">
        <is>
          <t>post-08</t>
        </is>
      </c>
      <c r="B210" s="7">
        <f>IFERROR(VLOOKUP($A210,商品マスタ!$A:$E,5,FALSE),"")</f>
        <v/>
      </c>
      <c r="C210" s="8" t="n">
        <v>8</v>
      </c>
      <c r="D210" s="8" t="inlineStr">
        <is>
          <t>ウォールナット</t>
        </is>
      </c>
      <c r="E210" s="188" t="inlineStr">
        <is>
          <t>#653322</t>
        </is>
      </c>
    </row>
    <row r="211">
      <c r="A211" s="8" t="inlineStr">
        <is>
          <t>gatepost-01</t>
        </is>
      </c>
      <c r="B211" s="7">
        <f>IFERROR(VLOOKUP($A211,商品マスタ!$A:$E,5,FALSE),"")</f>
        <v/>
      </c>
      <c r="C211" s="8" t="n">
        <v>1</v>
      </c>
      <c r="D211" s="8" t="inlineStr">
        <is>
          <t>アルミブラック</t>
        </is>
      </c>
      <c r="E211" s="165" t="inlineStr">
        <is>
          <t>#111112</t>
        </is>
      </c>
    </row>
    <row r="212">
      <c r="A212" s="8" t="inlineStr">
        <is>
          <t>gatepost-02</t>
        </is>
      </c>
      <c r="B212" s="7">
        <f>IFERROR(VLOOKUP($A212,商品マスタ!$A:$E,5,FALSE),"")</f>
        <v/>
      </c>
      <c r="C212" s="8" t="n">
        <v>1</v>
      </c>
      <c r="D212" s="8" t="inlineStr">
        <is>
          <t>TMタモ</t>
        </is>
      </c>
      <c r="E212" s="189" t="inlineStr">
        <is>
          <t>#644e48</t>
        </is>
      </c>
    </row>
    <row r="213">
      <c r="A213" s="8" t="inlineStr">
        <is>
          <t>gatepost-02</t>
        </is>
      </c>
      <c r="B213" s="7">
        <f>IFERROR(VLOOKUP($A213,商品マスタ!$A:$E,5,FALSE),"")</f>
        <v/>
      </c>
      <c r="C213" s="8" t="n">
        <v>2</v>
      </c>
      <c r="D213" s="8" t="inlineStr">
        <is>
          <t>JCチェリー</t>
        </is>
      </c>
      <c r="E213" s="190" t="inlineStr">
        <is>
          <t>#a57e6c</t>
        </is>
      </c>
    </row>
    <row r="214">
      <c r="A214" s="8" t="inlineStr">
        <is>
          <t>gatepost-02</t>
        </is>
      </c>
      <c r="B214" s="7">
        <f>IFERROR(VLOOKUP($A214,商品マスタ!$A:$E,5,FALSE),"")</f>
        <v/>
      </c>
      <c r="C214" s="8" t="n">
        <v>3</v>
      </c>
      <c r="D214" s="8" t="inlineStr">
        <is>
          <t>OGオークグレー</t>
        </is>
      </c>
      <c r="E214" s="191" t="inlineStr">
        <is>
          <t>#cabdb7</t>
        </is>
      </c>
    </row>
    <row r="215">
      <c r="A215" s="8" t="inlineStr">
        <is>
          <t>gatepost-02</t>
        </is>
      </c>
      <c r="B215" s="7">
        <f>IFERROR(VLOOKUP($A215,商品マスタ!$A:$E,5,FALSE),"")</f>
        <v/>
      </c>
      <c r="C215" s="8" t="n">
        <v>4</v>
      </c>
      <c r="D215" s="8" t="inlineStr">
        <is>
          <t>BKブラック</t>
        </is>
      </c>
      <c r="E215" s="165" t="inlineStr">
        <is>
          <t>#111112</t>
        </is>
      </c>
    </row>
    <row r="216">
      <c r="A216" s="8" t="inlineStr">
        <is>
          <t>grass-03</t>
        </is>
      </c>
      <c r="B216" s="7">
        <f>IFERROR(VLOOKUP($A216,商品マスタ!$A:$E,5,FALSE),"")</f>
        <v/>
      </c>
      <c r="C216" s="8" t="n">
        <v>1</v>
      </c>
      <c r="D216" s="8" t="inlineStr">
        <is>
          <t>和良</t>
        </is>
      </c>
      <c r="E216" s="192" t="inlineStr">
        <is>
          <t>#867e67</t>
        </is>
      </c>
    </row>
    <row r="217">
      <c r="A217" s="8" t="inlineStr">
        <is>
          <t>grass-03</t>
        </is>
      </c>
      <c r="B217" s="7">
        <f>IFERROR(VLOOKUP($A217,商品マスタ!$A:$E,5,FALSE),"")</f>
        <v/>
      </c>
      <c r="C217" s="8" t="n">
        <v>2</v>
      </c>
      <c r="D217" s="8" t="inlineStr">
        <is>
          <t>揖斐</t>
        </is>
      </c>
      <c r="E217" s="193" t="inlineStr">
        <is>
          <t>#636c71</t>
        </is>
      </c>
    </row>
    <row r="218">
      <c r="A218" s="8" t="inlineStr">
        <is>
          <t>grass-03</t>
        </is>
      </c>
      <c r="B218" s="7">
        <f>IFERROR(VLOOKUP($A218,商品マスタ!$A:$E,5,FALSE),"")</f>
        <v/>
      </c>
      <c r="C218" s="8" t="n">
        <v>3</v>
      </c>
      <c r="D218" s="8" t="inlineStr">
        <is>
          <t>錦</t>
        </is>
      </c>
      <c r="E218" s="194" t="inlineStr">
        <is>
          <t>#7f816b</t>
        </is>
      </c>
    </row>
    <row r="219">
      <c r="A219" s="8" t="inlineStr">
        <is>
          <t>grass-03</t>
        </is>
      </c>
      <c r="B219" s="7">
        <f>IFERROR(VLOOKUP($A219,商品マスタ!$A:$E,5,FALSE),"")</f>
        <v/>
      </c>
      <c r="C219" s="8" t="n">
        <v>4</v>
      </c>
      <c r="D219" s="8" t="inlineStr">
        <is>
          <t>蒼白</t>
        </is>
      </c>
      <c r="E219" s="195" t="inlineStr">
        <is>
          <t>#a0aab4</t>
        </is>
      </c>
    </row>
    <row r="220">
      <c r="A220" s="8" t="inlineStr">
        <is>
          <t>grass-03</t>
        </is>
      </c>
      <c r="B220" s="7">
        <f>IFERROR(VLOOKUP($A220,商品マスタ!$A:$E,5,FALSE),"")</f>
        <v/>
      </c>
      <c r="C220" s="8" t="n">
        <v>5</v>
      </c>
      <c r="D220" s="8" t="inlineStr">
        <is>
          <t>美祢</t>
        </is>
      </c>
      <c r="E220" s="196" t="inlineStr">
        <is>
          <t>#ede8e4</t>
        </is>
      </c>
    </row>
    <row r="221">
      <c r="A221" s="8" t="inlineStr">
        <is>
          <t>grass-04</t>
        </is>
      </c>
      <c r="B221" s="7">
        <f>IFERROR(VLOOKUP($A221,商品マスタ!$A:$E,5,FALSE),"")</f>
        <v/>
      </c>
      <c r="C221" s="8" t="n">
        <v>1</v>
      </c>
      <c r="D221" s="8" t="inlineStr">
        <is>
          <t>チャートレッド</t>
        </is>
      </c>
      <c r="E221" s="197" t="inlineStr">
        <is>
          <t>#b29895</t>
        </is>
      </c>
    </row>
    <row r="222">
      <c r="A222" s="8" t="inlineStr">
        <is>
          <t>grass-04</t>
        </is>
      </c>
      <c r="B222" s="7">
        <f>IFERROR(VLOOKUP($A222,商品マスタ!$A:$E,5,FALSE),"")</f>
        <v/>
      </c>
      <c r="C222" s="8" t="n">
        <v>2</v>
      </c>
      <c r="D222" s="8" t="inlineStr">
        <is>
          <t>チャートブラウン</t>
        </is>
      </c>
      <c r="E222" s="198" t="inlineStr">
        <is>
          <t>#d8c7bd</t>
        </is>
      </c>
    </row>
    <row r="223">
      <c r="A223" s="8" t="inlineStr">
        <is>
          <t>grass-04</t>
        </is>
      </c>
      <c r="B223" s="7">
        <f>IFERROR(VLOOKUP($A223,商品マスタ!$A:$E,5,FALSE),"")</f>
        <v/>
      </c>
      <c r="C223" s="8" t="n">
        <v>3</v>
      </c>
      <c r="D223" s="8" t="inlineStr">
        <is>
          <t>セラチップ</t>
        </is>
      </c>
      <c r="E223" s="199" t="inlineStr">
        <is>
          <t>#e1dfd9</t>
        </is>
      </c>
    </row>
    <row r="224">
      <c r="A224" s="8" t="inlineStr">
        <is>
          <t>grass-04</t>
        </is>
      </c>
      <c r="B224" s="7">
        <f>IFERROR(VLOOKUP($A224,商品マスタ!$A:$E,5,FALSE),"")</f>
        <v/>
      </c>
      <c r="C224" s="8" t="n">
        <v>4</v>
      </c>
      <c r="D224" s="8" t="inlineStr">
        <is>
          <t>ブラウン</t>
        </is>
      </c>
      <c r="E224" s="200" t="inlineStr">
        <is>
          <t>#9e8775</t>
        </is>
      </c>
    </row>
    <row r="225">
      <c r="A225" s="8" t="inlineStr">
        <is>
          <t>grass-04</t>
        </is>
      </c>
      <c r="B225" s="7">
        <f>IFERROR(VLOOKUP($A225,商品マスタ!$A:$E,5,FALSE),"")</f>
        <v/>
      </c>
      <c r="C225" s="8" t="n">
        <v>5</v>
      </c>
      <c r="D225" s="8" t="inlineStr">
        <is>
          <t>アイボリー</t>
        </is>
      </c>
      <c r="E225" s="201" t="inlineStr">
        <is>
          <t>#f6f9f7</t>
        </is>
      </c>
    </row>
    <row r="226">
      <c r="A226" s="8" t="inlineStr">
        <is>
          <t>grass-05</t>
        </is>
      </c>
      <c r="B226" s="7">
        <f>IFERROR(VLOOKUP($A226,商品マスタ!$A:$E,5,FALSE),"")</f>
        <v/>
      </c>
      <c r="C226" s="8" t="n">
        <v>1</v>
      </c>
      <c r="D226" s="8" t="inlineStr">
        <is>
          <t>クッキーイエロー</t>
        </is>
      </c>
      <c r="E226" s="202" t="inlineStr">
        <is>
          <t>#f7e7c0</t>
        </is>
      </c>
    </row>
    <row r="227">
      <c r="A227" s="8" t="inlineStr">
        <is>
          <t>grass-05</t>
        </is>
      </c>
      <c r="B227" s="7">
        <f>IFERROR(VLOOKUP($A227,商品マスタ!$A:$E,5,FALSE),"")</f>
        <v/>
      </c>
      <c r="C227" s="8" t="n">
        <v>2</v>
      </c>
      <c r="D227" s="8" t="inlineStr">
        <is>
          <t>チョコローズ</t>
        </is>
      </c>
      <c r="E227" s="203" t="inlineStr">
        <is>
          <t>#9b5c45</t>
        </is>
      </c>
    </row>
    <row r="228">
      <c r="A228" s="8" t="inlineStr">
        <is>
          <t>grass-05</t>
        </is>
      </c>
      <c r="B228" s="7">
        <f>IFERROR(VLOOKUP($A228,商品マスタ!$A:$E,5,FALSE),"")</f>
        <v/>
      </c>
      <c r="C228" s="8" t="n">
        <v>3</v>
      </c>
      <c r="D228" s="8" t="inlineStr">
        <is>
          <t>ミルフィーユレッド</t>
        </is>
      </c>
      <c r="E228" s="204" t="inlineStr">
        <is>
          <t>#d08c54</t>
        </is>
      </c>
    </row>
    <row r="229">
      <c r="A229" s="8" t="inlineStr">
        <is>
          <t>water-01</t>
        </is>
      </c>
      <c r="B229" s="7">
        <f>IFERROR(VLOOKUP($A229,商品マスタ!$A:$E,5,FALSE),"")</f>
        <v/>
      </c>
      <c r="C229" s="8" t="n">
        <v>1</v>
      </c>
      <c r="D229" s="8" t="inlineStr">
        <is>
          <t>Newチャコールグレー</t>
        </is>
      </c>
      <c r="E229" s="205" t="inlineStr">
        <is>
          <t>#3d373e</t>
        </is>
      </c>
    </row>
    <row r="230">
      <c r="A230" s="8" t="inlineStr">
        <is>
          <t>water-01</t>
        </is>
      </c>
      <c r="B230" s="7">
        <f>IFERROR(VLOOKUP($A230,商品マスタ!$A:$E,5,FALSE),"")</f>
        <v/>
      </c>
      <c r="C230" s="8" t="n">
        <v>2</v>
      </c>
      <c r="D230" s="8" t="inlineStr">
        <is>
          <t>Newペールグレー</t>
        </is>
      </c>
      <c r="E230" s="206" t="inlineStr">
        <is>
          <t>#9f98a8</t>
        </is>
      </c>
    </row>
    <row r="231">
      <c r="A231" s="8" t="inlineStr">
        <is>
          <t>water-01</t>
        </is>
      </c>
      <c r="B231" s="7">
        <f>IFERROR(VLOOKUP($A231,商品マスタ!$A:$E,5,FALSE),"")</f>
        <v/>
      </c>
      <c r="C231" s="8" t="n">
        <v>3</v>
      </c>
      <c r="D231" s="8" t="inlineStr">
        <is>
          <t>Newライトモスグリーン</t>
        </is>
      </c>
      <c r="E231" s="207" t="inlineStr">
        <is>
          <t>#968d6e</t>
        </is>
      </c>
    </row>
    <row r="232">
      <c r="A232" s="8" t="inlineStr">
        <is>
          <t>water-01</t>
        </is>
      </c>
      <c r="B232" s="7">
        <f>IFERROR(VLOOKUP($A232,商品マスタ!$A:$E,5,FALSE),"")</f>
        <v/>
      </c>
      <c r="C232" s="8" t="n">
        <v>4</v>
      </c>
      <c r="D232" s="8" t="inlineStr">
        <is>
          <t>バニラ</t>
        </is>
      </c>
      <c r="E232" s="154" t="inlineStr">
        <is>
          <t>#e6e6e6</t>
        </is>
      </c>
    </row>
    <row r="233">
      <c r="A233" s="8" t="inlineStr">
        <is>
          <t>water-01</t>
        </is>
      </c>
      <c r="B233" s="7">
        <f>IFERROR(VLOOKUP($A233,商品マスタ!$A:$E,5,FALSE),"")</f>
        <v/>
      </c>
      <c r="C233" s="8" t="n">
        <v>5</v>
      </c>
      <c r="D233" s="8" t="inlineStr">
        <is>
          <t>ダークブラウン</t>
        </is>
      </c>
      <c r="E233" s="208" t="inlineStr">
        <is>
          <t>#3c2923</t>
        </is>
      </c>
    </row>
    <row r="234">
      <c r="A234" s="8" t="inlineStr">
        <is>
          <t>water-01</t>
        </is>
      </c>
      <c r="B234" s="7">
        <f>IFERROR(VLOOKUP($A234,商品マスタ!$A:$E,5,FALSE),"")</f>
        <v/>
      </c>
      <c r="C234" s="8" t="n">
        <v>6</v>
      </c>
      <c r="D234" s="8" t="inlineStr">
        <is>
          <t>ブラック</t>
        </is>
      </c>
      <c r="E234" s="148" t="inlineStr">
        <is>
          <t>#0f0f10</t>
        </is>
      </c>
    </row>
    <row r="235">
      <c r="A235" s="8" t="inlineStr">
        <is>
          <t>water-01</t>
        </is>
      </c>
      <c r="B235" s="7">
        <f>IFERROR(VLOOKUP($A235,商品マスタ!$A:$E,5,FALSE),"")</f>
        <v/>
      </c>
      <c r="C235" s="8" t="n">
        <v>7</v>
      </c>
      <c r="D235" s="8" t="inlineStr">
        <is>
          <t>ワインレッド</t>
        </is>
      </c>
      <c r="E235" s="209" t="inlineStr">
        <is>
          <t>#a21c2a</t>
        </is>
      </c>
    </row>
    <row r="236">
      <c r="A236" s="8" t="inlineStr">
        <is>
          <t>water-01</t>
        </is>
      </c>
      <c r="B236" s="7">
        <f>IFERROR(VLOOKUP($A236,商品マスタ!$A:$E,5,FALSE),"")</f>
        <v/>
      </c>
      <c r="C236" s="8" t="n">
        <v>8</v>
      </c>
      <c r="D236" s="8" t="inlineStr">
        <is>
          <t>へアライン</t>
        </is>
      </c>
      <c r="E236" s="210" t="inlineStr">
        <is>
          <t>#dddada</t>
        </is>
      </c>
    </row>
    <row r="237">
      <c r="A237" s="8" t="inlineStr">
        <is>
          <t>water-01</t>
        </is>
      </c>
      <c r="B237" s="7">
        <f>IFERROR(VLOOKUP($A237,商品マスタ!$A:$E,5,FALSE),"")</f>
        <v/>
      </c>
      <c r="C237" s="8" t="n">
        <v>9</v>
      </c>
      <c r="D237" s="8" t="inlineStr">
        <is>
          <t>ネイビー</t>
        </is>
      </c>
      <c r="E237" s="211" t="inlineStr">
        <is>
          <t>#212151</t>
        </is>
      </c>
    </row>
    <row r="238">
      <c r="A238" s="8" t="inlineStr">
        <is>
          <t>water-01</t>
        </is>
      </c>
      <c r="B238" s="7">
        <f>IFERROR(VLOOKUP($A238,商品マスタ!$A:$E,5,FALSE),"")</f>
        <v/>
      </c>
      <c r="C238" s="8" t="n">
        <v>10</v>
      </c>
      <c r="D238" s="8" t="inlineStr">
        <is>
          <t>ターコイズブルー</t>
        </is>
      </c>
      <c r="E238" s="212" t="inlineStr">
        <is>
          <t>#96d2d8</t>
        </is>
      </c>
    </row>
    <row r="239">
      <c r="A239" s="8" t="inlineStr">
        <is>
          <t>water-01</t>
        </is>
      </c>
      <c r="B239" s="7">
        <f>IFERROR(VLOOKUP($A239,商品マスタ!$A:$E,5,FALSE),"")</f>
        <v/>
      </c>
      <c r="C239" s="8" t="n">
        <v>11</v>
      </c>
      <c r="D239" s="8" t="inlineStr">
        <is>
          <t>ブライトレッド</t>
        </is>
      </c>
      <c r="E239" s="213" t="inlineStr">
        <is>
          <t>#dd2e2e</t>
        </is>
      </c>
    </row>
    <row r="240">
      <c r="A240" s="8" t="inlineStr">
        <is>
          <t>water-01</t>
        </is>
      </c>
      <c r="B240" s="7">
        <f>IFERROR(VLOOKUP($A240,商品マスタ!$A:$E,5,FALSE),"")</f>
        <v/>
      </c>
      <c r="C240" s="8" t="n">
        <v>12</v>
      </c>
      <c r="D240" s="8" t="inlineStr">
        <is>
          <t>マスタード</t>
        </is>
      </c>
      <c r="E240" s="214" t="inlineStr">
        <is>
          <t>#f5a343</t>
        </is>
      </c>
    </row>
    <row r="241">
      <c r="A241" s="8" t="inlineStr">
        <is>
          <t>water-01</t>
        </is>
      </c>
      <c r="B241" s="7">
        <f>IFERROR(VLOOKUP($A241,商品マスタ!$A:$E,5,FALSE),"")</f>
        <v/>
      </c>
      <c r="C241" s="8" t="n">
        <v>13</v>
      </c>
      <c r="D241" s="8" t="inlineStr">
        <is>
          <t>レモンイエロー</t>
        </is>
      </c>
      <c r="E241" s="215" t="inlineStr">
        <is>
          <t>#f6e37c</t>
        </is>
      </c>
    </row>
    <row r="242">
      <c r="A242" s="8" t="inlineStr">
        <is>
          <t>water-02</t>
        </is>
      </c>
      <c r="B242" s="7">
        <f>IFERROR(VLOOKUP($A242,商品マスタ!$A:$E,5,FALSE),"")</f>
        <v/>
      </c>
      <c r="C242" s="8" t="n">
        <v>1</v>
      </c>
      <c r="D242" s="8" t="inlineStr">
        <is>
          <t>ステンレスへアライン</t>
        </is>
      </c>
      <c r="E242" s="210" t="inlineStr">
        <is>
          <t>#dddada</t>
        </is>
      </c>
    </row>
    <row r="243">
      <c r="A243" s="8" t="inlineStr">
        <is>
          <t>water-03</t>
        </is>
      </c>
      <c r="B243" s="7">
        <f>IFERROR(VLOOKUP($A243,商品マスタ!$A:$E,5,FALSE),"")</f>
        <v/>
      </c>
      <c r="C243" s="8" t="n">
        <v>1</v>
      </c>
      <c r="D243" s="8" t="inlineStr">
        <is>
          <t>織部</t>
        </is>
      </c>
      <c r="E243" s="216" t="inlineStr">
        <is>
          <t>#76782f</t>
        </is>
      </c>
    </row>
    <row r="244">
      <c r="A244" s="8" t="inlineStr">
        <is>
          <t>water-03</t>
        </is>
      </c>
      <c r="B244" s="7">
        <f>IFERROR(VLOOKUP($A244,商品マスタ!$A:$E,5,FALSE),"")</f>
        <v/>
      </c>
      <c r="C244" s="8" t="n">
        <v>2</v>
      </c>
      <c r="D244" s="8" t="inlineStr">
        <is>
          <t>白釉</t>
        </is>
      </c>
      <c r="E244" s="154" t="inlineStr">
        <is>
          <t>#e6e6e6</t>
        </is>
      </c>
    </row>
    <row r="245">
      <c r="A245" s="8" t="inlineStr">
        <is>
          <t>water-03</t>
        </is>
      </c>
      <c r="B245" s="7">
        <f>IFERROR(VLOOKUP($A245,商品マスタ!$A:$E,5,FALSE),"")</f>
        <v/>
      </c>
      <c r="C245" s="8" t="n">
        <v>3</v>
      </c>
      <c r="D245" s="8" t="inlineStr">
        <is>
          <t>黒釉</t>
        </is>
      </c>
      <c r="E245" s="148" t="inlineStr">
        <is>
          <t>#0f0f10</t>
        </is>
      </c>
    </row>
    <row r="246">
      <c r="A246" s="8" t="inlineStr">
        <is>
          <t>water-03</t>
        </is>
      </c>
      <c r="B246" s="7">
        <f>IFERROR(VLOOKUP($A246,商品マスタ!$A:$E,5,FALSE),"")</f>
        <v/>
      </c>
      <c r="C246" s="8" t="n">
        <v>4</v>
      </c>
      <c r="D246" s="8" t="inlineStr">
        <is>
          <t>ハニワ</t>
        </is>
      </c>
      <c r="E246" s="217" t="inlineStr">
        <is>
          <t>#e3d3b2</t>
        </is>
      </c>
    </row>
    <row r="247">
      <c r="A247" s="8" t="inlineStr">
        <is>
          <t>water-04</t>
        </is>
      </c>
      <c r="B247" s="7">
        <f>IFERROR(VLOOKUP($A247,商品マスタ!$A:$E,5,FALSE),"")</f>
        <v/>
      </c>
      <c r="C247" s="8" t="n">
        <v>1</v>
      </c>
      <c r="D247" s="8" t="inlineStr">
        <is>
          <t>ホワイト</t>
        </is>
      </c>
      <c r="E247" s="161" t="inlineStr">
        <is>
          <t>#f5f5f5</t>
        </is>
      </c>
    </row>
    <row r="248">
      <c r="A248" s="8" t="inlineStr">
        <is>
          <t>water-04</t>
        </is>
      </c>
      <c r="B248" s="7">
        <f>IFERROR(VLOOKUP($A248,商品マスタ!$A:$E,5,FALSE),"")</f>
        <v/>
      </c>
      <c r="C248" s="8" t="n">
        <v>2</v>
      </c>
      <c r="D248" s="8" t="inlineStr">
        <is>
          <t>ブラック</t>
        </is>
      </c>
      <c r="E248" s="148" t="inlineStr">
        <is>
          <t>#0f0f10</t>
        </is>
      </c>
    </row>
    <row r="249">
      <c r="A249" s="8" t="inlineStr">
        <is>
          <t>water-04</t>
        </is>
      </c>
      <c r="B249" s="7">
        <f>IFERROR(VLOOKUP($A249,商品マスタ!$A:$E,5,FALSE),"")</f>
        <v/>
      </c>
      <c r="C249" s="8" t="n">
        <v>3</v>
      </c>
      <c r="D249" s="8" t="inlineStr">
        <is>
          <t>ダークブラウン</t>
        </is>
      </c>
      <c r="E249" s="208" t="inlineStr">
        <is>
          <t>#3c2923</t>
        </is>
      </c>
    </row>
    <row r="250">
      <c r="A250" s="8" t="inlineStr">
        <is>
          <t>water-05</t>
        </is>
      </c>
      <c r="B250" s="7">
        <f>IFERROR(VLOOKUP($A250,商品マスタ!$A:$E,5,FALSE),"")</f>
        <v/>
      </c>
      <c r="C250" s="8" t="n">
        <v>1</v>
      </c>
      <c r="D250" s="8" t="inlineStr">
        <is>
          <t>ホワイト</t>
        </is>
      </c>
      <c r="E250" s="161" t="inlineStr">
        <is>
          <t>#f5f5f5</t>
        </is>
      </c>
    </row>
    <row r="251">
      <c r="A251" s="8" t="inlineStr">
        <is>
          <t>water-06</t>
        </is>
      </c>
      <c r="B251" s="7">
        <f>IFERROR(VLOOKUP($A251,商品マスタ!$A:$E,5,FALSE),"")</f>
        <v/>
      </c>
      <c r="C251" s="8" t="n">
        <v>1</v>
      </c>
      <c r="D251" s="8" t="inlineStr">
        <is>
          <t>ステンレス</t>
        </is>
      </c>
      <c r="E251" s="210" t="inlineStr">
        <is>
          <t>#dddada</t>
        </is>
      </c>
    </row>
    <row r="252" ht="20" customHeight="1">
      <c r="A252" s="9" t="inlineStr">
        <is>
          <t>▼ ここから新規追加 ▼</t>
        </is>
      </c>
    </row>
    <row r="253">
      <c r="A253" s="8" t="n"/>
      <c r="B253" s="7">
        <f>IFERROR(VLOOKUP($A253,商品マスタ!$A:$E,5,FALSE),"")</f>
        <v/>
      </c>
      <c r="C253" s="8" t="n"/>
      <c r="D253" s="8" t="n"/>
      <c r="E253" s="8" t="n"/>
    </row>
    <row r="254">
      <c r="A254" s="8" t="n"/>
      <c r="B254" s="7">
        <f>IFERROR(VLOOKUP($A254,商品マスタ!$A:$E,5,FALSE),"")</f>
        <v/>
      </c>
      <c r="C254" s="8" t="n"/>
      <c r="D254" s="8" t="n"/>
      <c r="E254" s="8" t="n"/>
    </row>
    <row r="255">
      <c r="A255" s="8" t="n"/>
      <c r="B255" s="7">
        <f>IFERROR(VLOOKUP($A255,商品マスタ!$A:$E,5,FALSE),"")</f>
        <v/>
      </c>
      <c r="C255" s="8" t="n"/>
      <c r="D255" s="8" t="n"/>
      <c r="E255" s="8" t="n"/>
    </row>
    <row r="256">
      <c r="A256" s="8" t="n"/>
      <c r="B256" s="7">
        <f>IFERROR(VLOOKUP($A256,商品マスタ!$A:$E,5,FALSE),"")</f>
        <v/>
      </c>
      <c r="C256" s="8" t="n"/>
      <c r="D256" s="8" t="n"/>
      <c r="E256" s="8" t="n"/>
    </row>
    <row r="257">
      <c r="A257" s="8" t="n"/>
      <c r="B257" s="7">
        <f>IFERROR(VLOOKUP($A257,商品マスタ!$A:$E,5,FALSE),"")</f>
        <v/>
      </c>
      <c r="C257" s="8" t="n"/>
      <c r="D257" s="8" t="n"/>
      <c r="E257" s="8" t="n"/>
    </row>
    <row r="258">
      <c r="A258" s="8" t="n"/>
      <c r="B258" s="7">
        <f>IFERROR(VLOOKUP($A258,商品マスタ!$A:$E,5,FALSE),"")</f>
        <v/>
      </c>
      <c r="C258" s="8" t="n"/>
      <c r="D258" s="8" t="n"/>
      <c r="E258" s="8" t="n"/>
    </row>
    <row r="259">
      <c r="A259" s="8" t="n"/>
      <c r="B259" s="7">
        <f>IFERROR(VLOOKUP($A259,商品マスタ!$A:$E,5,FALSE),"")</f>
        <v/>
      </c>
      <c r="C259" s="8" t="n"/>
      <c r="D259" s="8" t="n"/>
      <c r="E259" s="8" t="n"/>
    </row>
    <row r="260">
      <c r="A260" s="8" t="n"/>
      <c r="B260" s="7">
        <f>IFERROR(VLOOKUP($A260,商品マスタ!$A:$E,5,FALSE),"")</f>
        <v/>
      </c>
      <c r="C260" s="8" t="n"/>
      <c r="D260" s="8" t="n"/>
      <c r="E260" s="8" t="n"/>
    </row>
    <row r="261">
      <c r="A261" s="8" t="n"/>
      <c r="B261" s="7">
        <f>IFERROR(VLOOKUP($A261,商品マスタ!$A:$E,5,FALSE),"")</f>
        <v/>
      </c>
      <c r="C261" s="8" t="n"/>
      <c r="D261" s="8" t="n"/>
      <c r="E261" s="8" t="n"/>
    </row>
    <row r="262">
      <c r="A262" s="8" t="n"/>
      <c r="B262" s="7">
        <f>IFERROR(VLOOKUP($A262,商品マスタ!$A:$E,5,FALSE),"")</f>
        <v/>
      </c>
      <c r="C262" s="8" t="n"/>
      <c r="D262" s="8" t="n"/>
      <c r="E262" s="8" t="n"/>
    </row>
    <row r="263">
      <c r="A263" s="8" t="n"/>
      <c r="B263" s="7">
        <f>IFERROR(VLOOKUP($A263,商品マスタ!$A:$E,5,FALSE),"")</f>
        <v/>
      </c>
      <c r="C263" s="8" t="n"/>
      <c r="D263" s="8" t="n"/>
      <c r="E263" s="8" t="n"/>
    </row>
    <row r="264">
      <c r="A264" s="8" t="n"/>
      <c r="B264" s="7">
        <f>IFERROR(VLOOKUP($A264,商品マスタ!$A:$E,5,FALSE),"")</f>
        <v/>
      </c>
      <c r="C264" s="8" t="n"/>
      <c r="D264" s="8" t="n"/>
      <c r="E264" s="8" t="n"/>
    </row>
    <row r="265">
      <c r="A265" s="8" t="n"/>
      <c r="B265" s="7">
        <f>IFERROR(VLOOKUP($A265,商品マスタ!$A:$E,5,FALSE),"")</f>
        <v/>
      </c>
      <c r="C265" s="8" t="n"/>
      <c r="D265" s="8" t="n"/>
      <c r="E265" s="8" t="n"/>
    </row>
    <row r="266">
      <c r="A266" s="8" t="n"/>
      <c r="B266" s="7">
        <f>IFERROR(VLOOKUP($A266,商品マスタ!$A:$E,5,FALSE),"")</f>
        <v/>
      </c>
      <c r="C266" s="8" t="n"/>
      <c r="D266" s="8" t="n"/>
      <c r="E266" s="8" t="n"/>
    </row>
    <row r="267">
      <c r="A267" s="8" t="n"/>
      <c r="B267" s="7">
        <f>IFERROR(VLOOKUP($A267,商品マスタ!$A:$E,5,FALSE),"")</f>
        <v/>
      </c>
      <c r="C267" s="8" t="n"/>
      <c r="D267" s="8" t="n"/>
      <c r="E267" s="8" t="n"/>
    </row>
    <row r="268">
      <c r="A268" s="8" t="n"/>
      <c r="B268" s="7">
        <f>IFERROR(VLOOKUP($A268,商品マスタ!$A:$E,5,FALSE),"")</f>
        <v/>
      </c>
      <c r="C268" s="8" t="n"/>
      <c r="D268" s="8" t="n"/>
      <c r="E268" s="8" t="n"/>
    </row>
    <row r="269">
      <c r="A269" s="8" t="n"/>
      <c r="B269" s="7">
        <f>IFERROR(VLOOKUP($A269,商品マスタ!$A:$E,5,FALSE),"")</f>
        <v/>
      </c>
      <c r="C269" s="8" t="n"/>
      <c r="D269" s="8" t="n"/>
      <c r="E269" s="8" t="n"/>
    </row>
    <row r="270">
      <c r="A270" s="8" t="n"/>
      <c r="B270" s="7">
        <f>IFERROR(VLOOKUP($A270,商品マスタ!$A:$E,5,FALSE),"")</f>
        <v/>
      </c>
      <c r="C270" s="8" t="n"/>
      <c r="D270" s="8" t="n"/>
      <c r="E270" s="8" t="n"/>
    </row>
    <row r="271">
      <c r="A271" s="8" t="n"/>
      <c r="B271" s="7">
        <f>IFERROR(VLOOKUP($A271,商品マスタ!$A:$E,5,FALSE),"")</f>
        <v/>
      </c>
      <c r="C271" s="8" t="n"/>
      <c r="D271" s="8" t="n"/>
      <c r="E271" s="8" t="n"/>
    </row>
    <row r="272">
      <c r="A272" s="8" t="n"/>
      <c r="B272" s="7">
        <f>IFERROR(VLOOKUP($A272,商品マスタ!$A:$E,5,FALSE),"")</f>
        <v/>
      </c>
      <c r="C272" s="8" t="n"/>
      <c r="D272" s="8" t="n"/>
      <c r="E272" s="8" t="n"/>
    </row>
    <row r="273">
      <c r="A273" s="8" t="n"/>
      <c r="B273" s="7">
        <f>IFERROR(VLOOKUP($A273,商品マスタ!$A:$E,5,FALSE),"")</f>
        <v/>
      </c>
      <c r="C273" s="8" t="n"/>
      <c r="D273" s="8" t="n"/>
      <c r="E273" s="8" t="n"/>
    </row>
    <row r="274">
      <c r="A274" s="8" t="n"/>
      <c r="B274" s="7">
        <f>IFERROR(VLOOKUP($A274,商品マスタ!$A:$E,5,FALSE),"")</f>
        <v/>
      </c>
      <c r="C274" s="8" t="n"/>
      <c r="D274" s="8" t="n"/>
      <c r="E274" s="8" t="n"/>
    </row>
    <row r="275">
      <c r="A275" s="8" t="n"/>
      <c r="B275" s="7">
        <f>IFERROR(VLOOKUP($A275,商品マスタ!$A:$E,5,FALSE),"")</f>
        <v/>
      </c>
      <c r="C275" s="8" t="n"/>
      <c r="D275" s="8" t="n"/>
      <c r="E275" s="8" t="n"/>
    </row>
    <row r="276">
      <c r="A276" s="8" t="n"/>
      <c r="B276" s="7">
        <f>IFERROR(VLOOKUP($A276,商品マスタ!$A:$E,5,FALSE),"")</f>
        <v/>
      </c>
      <c r="C276" s="8" t="n"/>
      <c r="D276" s="8" t="n"/>
      <c r="E276" s="8" t="n"/>
    </row>
    <row r="277">
      <c r="A277" s="8" t="n"/>
      <c r="B277" s="7">
        <f>IFERROR(VLOOKUP($A277,商品マスタ!$A:$E,5,FALSE),"")</f>
        <v/>
      </c>
      <c r="C277" s="8" t="n"/>
      <c r="D277" s="8" t="n"/>
      <c r="E277" s="8" t="n"/>
    </row>
    <row r="278">
      <c r="A278" s="8" t="n"/>
      <c r="B278" s="7">
        <f>IFERROR(VLOOKUP($A278,商品マスタ!$A:$E,5,FALSE),"")</f>
        <v/>
      </c>
      <c r="C278" s="8" t="n"/>
      <c r="D278" s="8" t="n"/>
      <c r="E278" s="8" t="n"/>
    </row>
    <row r="279">
      <c r="A279" s="8" t="n"/>
      <c r="B279" s="7">
        <f>IFERROR(VLOOKUP($A279,商品マスタ!$A:$E,5,FALSE),"")</f>
        <v/>
      </c>
      <c r="C279" s="8" t="n"/>
      <c r="D279" s="8" t="n"/>
      <c r="E279" s="8" t="n"/>
    </row>
    <row r="280">
      <c r="A280" s="8" t="n"/>
      <c r="B280" s="7">
        <f>IFERROR(VLOOKUP($A280,商品マスタ!$A:$E,5,FALSE),"")</f>
        <v/>
      </c>
      <c r="C280" s="8" t="n"/>
      <c r="D280" s="8" t="n"/>
      <c r="E280" s="8" t="n"/>
    </row>
    <row r="281">
      <c r="A281" s="8" t="n"/>
      <c r="B281" s="7">
        <f>IFERROR(VLOOKUP($A281,商品マスタ!$A:$E,5,FALSE),"")</f>
        <v/>
      </c>
      <c r="C281" s="8" t="n"/>
      <c r="D281" s="8" t="n"/>
      <c r="E281" s="8" t="n"/>
    </row>
    <row r="282">
      <c r="A282" s="8" t="n"/>
      <c r="B282" s="7">
        <f>IFERROR(VLOOKUP($A282,商品マスタ!$A:$E,5,FALSE),"")</f>
        <v/>
      </c>
      <c r="C282" s="8" t="n"/>
      <c r="D282" s="8" t="n"/>
      <c r="E282" s="8" t="n"/>
    </row>
  </sheetData>
  <mergeCells count="1">
    <mergeCell ref="A252:E252"/>
  </mergeCells>
  <dataValidations count="1">
    <dataValidation sqref="A2:A282" showDropDown="0" showInputMessage="0" showErrorMessage="0" allowBlank="1" type="list">
      <formula1>='商品マスタ'!$A$2:$A$110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2"/>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45" customWidth="1" min="4" max="4"/>
    <col width="22" customWidth="1" min="5" max="5"/>
    <col width="45" customWidth="1" min="6" max="6"/>
  </cols>
  <sheetData>
    <row r="1" ht="32" customHeight="1">
      <c r="A1" s="6" t="inlineStr">
        <is>
          <t>商品ID（自動）</t>
        </is>
      </c>
      <c r="B1" s="6" t="inlineStr">
        <is>
          <t>商品名（参考）</t>
        </is>
      </c>
      <c r="C1" s="6" t="inlineStr">
        <is>
          <t>リンク1 表示文言</t>
        </is>
      </c>
      <c r="D1" s="6" t="inlineStr">
        <is>
          <t>リンク1 URL</t>
        </is>
      </c>
      <c r="E1" s="6" t="inlineStr">
        <is>
          <t>リンク2 表示文言</t>
        </is>
      </c>
      <c r="F1" s="6" t="inlineStr">
        <is>
          <t>リンク2 URL</t>
        </is>
      </c>
    </row>
    <row r="2">
      <c r="A2" s="7">
        <f>'商品マスタ'!A2</f>
        <v/>
      </c>
      <c r="B2" s="7">
        <f>'商品マスタ'!E2</f>
        <v/>
      </c>
      <c r="C2" s="8" t="inlineStr">
        <is>
          <t>カタログを見る【関東】</t>
        </is>
      </c>
      <c r="D2" s="8" t="inlineStr">
        <is>
          <t>https://toyo-kogyo.icata.net/iportal/cv.do?c=24053650000&amp;pg=93&amp;v=TYK10002&amp;d=TOYOD01</t>
        </is>
      </c>
      <c r="E2" s="8" t="inlineStr">
        <is>
          <t>カタログを見る【九州】</t>
        </is>
      </c>
      <c r="F2" s="8" t="inlineStr">
        <is>
          <t>https://toyo-kogyo.icata.net/iportal/cv.do?c=24053640000&amp;pg=93&amp;v=TYK10002&amp;d=TOYOD01</t>
        </is>
      </c>
    </row>
    <row r="3">
      <c r="A3" s="7">
        <f>'商品マスタ'!A3</f>
        <v/>
      </c>
      <c r="B3" s="7">
        <f>'商品マスタ'!E3</f>
        <v/>
      </c>
      <c r="C3" s="8" t="inlineStr">
        <is>
          <t>カタログを見る【関東】</t>
        </is>
      </c>
      <c r="D3" s="8" t="inlineStr">
        <is>
          <t>https://toyo-kogyo.icata.net/iportal/cv.do?c=24053650000&amp;pg=106&amp;v=TYK10002&amp;d=TOYOD01</t>
        </is>
      </c>
      <c r="E3" s="8" t="inlineStr">
        <is>
          <t>カタログを見る【九州】</t>
        </is>
      </c>
      <c r="F3" s="8" t="inlineStr">
        <is>
          <t>https://toyo-kogyo.icata.net/iportal/cv.do?c=24053640000&amp;pg=106&amp;v=TYK10002&amp;d=TOYOD01</t>
        </is>
      </c>
    </row>
    <row r="4">
      <c r="A4" s="7">
        <f>'商品マスタ'!A4</f>
        <v/>
      </c>
      <c r="B4" s="7">
        <f>'商品マスタ'!E4</f>
        <v/>
      </c>
      <c r="C4" s="8" t="inlineStr">
        <is>
          <t>カタログを見る【関東】</t>
        </is>
      </c>
      <c r="D4" s="8" t="inlineStr">
        <is>
          <t>https://toyo-kogyo.icata.net/iportal/cv.do?c=24053650000&amp;pg=124&amp;v=TYK10002&amp;d=TOYOD01</t>
        </is>
      </c>
      <c r="E4" s="8" t="inlineStr">
        <is>
          <t>カタログを見る【九州】</t>
        </is>
      </c>
      <c r="F4" s="8" t="inlineStr">
        <is>
          <t>https://toyo-kogyo.icata.net/iportal/cv.do?c=24053640000&amp;pg=124&amp;v=TYK10002&amp;d=TOYOD01</t>
        </is>
      </c>
    </row>
    <row r="5">
      <c r="A5" s="7">
        <f>'商品マスタ'!A5</f>
        <v/>
      </c>
      <c r="B5" s="7">
        <f>'商品マスタ'!E5</f>
        <v/>
      </c>
      <c r="C5" s="8" t="inlineStr">
        <is>
          <t>カタログを見る【関東】</t>
        </is>
      </c>
      <c r="D5" s="8" t="inlineStr">
        <is>
          <t>https://toyo-kogyo.icata.net/iportal/cv.do?c=24053650000&amp;pg=105&amp;v=TYK10002&amp;d=TOYOD01</t>
        </is>
      </c>
      <c r="E5" s="8" t="inlineStr">
        <is>
          <t>カタログを見る【九州】</t>
        </is>
      </c>
      <c r="F5" s="8" t="inlineStr">
        <is>
          <t>https://toyo-kogyo.icata.net/iportal/cv.do?c=24053640000&amp;pg=105&amp;v=TYK10002&amp;d=TOYOD01</t>
        </is>
      </c>
    </row>
    <row r="6">
      <c r="A6" s="7">
        <f>'商品マスタ'!A6</f>
        <v/>
      </c>
      <c r="B6" s="7">
        <f>'商品マスタ'!E6</f>
        <v/>
      </c>
      <c r="C6" s="8" t="inlineStr">
        <is>
          <t>カタログを見る【関東】</t>
        </is>
      </c>
      <c r="D6" s="8" t="inlineStr">
        <is>
          <t>https://toyo-kogyo.icata.net/iportal/cv.do?c=24053650000&amp;pg=146&amp;v=TYK10002&amp;d=TOYOD01</t>
        </is>
      </c>
      <c r="E6" s="8" t="inlineStr">
        <is>
          <t>カタログを見る【九州】</t>
        </is>
      </c>
      <c r="F6" s="8" t="inlineStr">
        <is>
          <t>https://toyo-kogyo.icata.net/iportal/cv.do?c=24053640000&amp;pg=146&amp;v=TYK10002&amp;d=TOYOD01</t>
        </is>
      </c>
    </row>
    <row r="7">
      <c r="A7" s="7">
        <f>'商品マスタ'!A7</f>
        <v/>
      </c>
      <c r="B7" s="7">
        <f>'商品マスタ'!E7</f>
        <v/>
      </c>
      <c r="C7" s="8" t="inlineStr">
        <is>
          <t>カタログを見る【関東】</t>
        </is>
      </c>
      <c r="D7" s="8" t="inlineStr">
        <is>
          <t>https://toyo-kogyo.icata.net/iportal/cv.do?c=24053650000&amp;pg=126&amp;v=TYK10002&amp;d=TOYOD01</t>
        </is>
      </c>
      <c r="E7" s="8" t="inlineStr">
        <is>
          <t>カタログを見る【九州】</t>
        </is>
      </c>
      <c r="F7" s="8" t="inlineStr">
        <is>
          <t>https://toyo-kogyo.icata.net/iportal/cv.do?c=24053640000&amp;pg=126&amp;v=TYK10002&amp;d=TOYOD01</t>
        </is>
      </c>
    </row>
    <row r="8">
      <c r="A8" s="7">
        <f>'商品マスタ'!A8</f>
        <v/>
      </c>
      <c r="B8" s="7">
        <f>'商品マスタ'!E8</f>
        <v/>
      </c>
      <c r="C8" s="8" t="inlineStr">
        <is>
          <t>カタログを見る【関東】</t>
        </is>
      </c>
      <c r="D8" s="8" t="inlineStr">
        <is>
          <t>https://dmp-net.meclib.jp/library/books/catalog2025/book/index.html#target/page_no=281</t>
        </is>
      </c>
      <c r="E8" s="8" t="inlineStr"/>
      <c r="F8" s="8" t="inlineStr"/>
    </row>
    <row r="9">
      <c r="A9" s="7">
        <f>'商品マスタ'!A9</f>
        <v/>
      </c>
      <c r="B9" s="7">
        <f>'商品マスタ'!E9</f>
        <v/>
      </c>
      <c r="C9" s="8" t="inlineStr">
        <is>
          <t>カタログを見る【九州】</t>
        </is>
      </c>
      <c r="D9" s="8" t="inlineStr">
        <is>
          <t>https://saas.actibookone.com/content/detail?param=eyJjb250ZW50TnVtIjoxNzY2NDd9&amp;detailFlg=0&amp;pNo=156</t>
        </is>
      </c>
      <c r="E9" s="8" t="inlineStr"/>
      <c r="F9" s="8" t="inlineStr"/>
    </row>
    <row r="10">
      <c r="A10" s="7">
        <f>'商品マスタ'!A10</f>
        <v/>
      </c>
      <c r="B10" s="7">
        <f>'商品マスタ'!E10</f>
        <v/>
      </c>
      <c r="C10" s="8" t="inlineStr">
        <is>
          <t>カタログを見る【関東】</t>
        </is>
      </c>
      <c r="D10" s="8" t="inlineStr">
        <is>
          <t>https://dmp-net.meclib.jp/library/books/catalog2025/book/index.html#target/page_no=283</t>
        </is>
      </c>
      <c r="E10" s="8" t="inlineStr"/>
      <c r="F10" s="8" t="inlineStr"/>
    </row>
    <row r="11">
      <c r="A11" s="7">
        <f>'商品マスタ'!A11</f>
        <v/>
      </c>
      <c r="B11" s="7">
        <f>'商品マスタ'!E11</f>
        <v/>
      </c>
      <c r="C11" s="8" t="inlineStr">
        <is>
          <t>カタログを見る【九州】</t>
        </is>
      </c>
      <c r="D11" s="8" t="inlineStr">
        <is>
          <t>https://saas.actibookone.com/content/detail?param=eyJjb250ZW50TnVtIjoxNzY2NDd9&amp;detailFlg=0&amp;pNo=144</t>
        </is>
      </c>
      <c r="E11" s="8" t="inlineStr"/>
      <c r="F11" s="8" t="inlineStr"/>
    </row>
    <row r="12">
      <c r="A12" s="7">
        <f>'商品マスタ'!A12</f>
        <v/>
      </c>
      <c r="B12" s="7">
        <f>'商品マスタ'!E12</f>
        <v/>
      </c>
      <c r="C12" s="8" t="inlineStr">
        <is>
          <t>カタログを見る【関東】</t>
        </is>
      </c>
      <c r="D12" s="8" t="inlineStr">
        <is>
          <t>https://toyo-kogyo.icata.net/iportal/cv.do?c=24053650000&amp;pg=133&amp;v=TYK10002&amp;d=TOYOD01</t>
        </is>
      </c>
      <c r="E12" s="8" t="inlineStr">
        <is>
          <t>カタログを見る【九州】</t>
        </is>
      </c>
      <c r="F12" s="8" t="inlineStr">
        <is>
          <t>https://toyo-kogyo.icata.net/iportal/cv.do?c=24053640000&amp;pg=133&amp;v=TYK10002&amp;d=TOYOD01</t>
        </is>
      </c>
    </row>
    <row r="13">
      <c r="A13" s="7">
        <f>'商品マスタ'!A13</f>
        <v/>
      </c>
      <c r="B13" s="7">
        <f>'商品マスタ'!E13</f>
        <v/>
      </c>
      <c r="C13" s="8" t="inlineStr">
        <is>
          <t>カタログを見る【関東】</t>
        </is>
      </c>
      <c r="D13" s="8" t="inlineStr">
        <is>
          <t>https://dmp-net.meclib.jp/library/books/catalog2025/book/index.html#target/page_no=108</t>
        </is>
      </c>
      <c r="E13" s="8" t="inlineStr">
        <is>
          <t>カタログを見る【九州】</t>
        </is>
      </c>
      <c r="F13" s="8" t="inlineStr">
        <is>
          <t>https://exis.icata.net/iportal/cv.do?c=1975150000&amp;pg=52&amp;v=EXS00001&amp;d=EXIS01</t>
        </is>
      </c>
    </row>
    <row r="14">
      <c r="A14" s="7">
        <f>'商品マスタ'!A14</f>
        <v/>
      </c>
      <c r="B14" s="7">
        <f>'商品マスタ'!E14</f>
        <v/>
      </c>
      <c r="C14" s="8" t="inlineStr">
        <is>
          <t>カタログを見る【関東】</t>
        </is>
      </c>
      <c r="D14" s="8" t="inlineStr">
        <is>
          <t>https://toyo-kogyo.icata.net/iportal/cv.do?c=24053650000&amp;pg=66&amp;v=TYK10002&amp;d=TOYOD01</t>
        </is>
      </c>
      <c r="E14" s="8" t="inlineStr">
        <is>
          <t>カタログを見る【九州】</t>
        </is>
      </c>
      <c r="F14" s="8" t="inlineStr">
        <is>
          <t>https://toyo-kogyo.icata.net/iportal/cv.do?c=24053640000&amp;pg=66&amp;v=TYK10002&amp;d=TOYOD01</t>
        </is>
      </c>
    </row>
    <row r="15">
      <c r="A15" s="7">
        <f>'商品マスタ'!A15</f>
        <v/>
      </c>
      <c r="B15" s="7">
        <f>'商品マスタ'!E15</f>
        <v/>
      </c>
      <c r="C15" s="8" t="inlineStr">
        <is>
          <t>カタログを見る【関東】</t>
        </is>
      </c>
      <c r="D15" s="8" t="inlineStr">
        <is>
          <t>https://dmp-net.meclib.jp/library/books/catalog2025/book/index.html#target/page_no=73</t>
        </is>
      </c>
      <c r="E15" s="8" t="inlineStr">
        <is>
          <t>カタログを見る【九州】</t>
        </is>
      </c>
      <c r="F15" s="8" t="inlineStr">
        <is>
          <t>https://exis.icata.net/iportal/cv.do?c=1975150000&amp;pg=41&amp;v=EXS00001&amp;d=EXIS01</t>
        </is>
      </c>
    </row>
    <row r="16">
      <c r="A16" s="7">
        <f>'商品マスタ'!A16</f>
        <v/>
      </c>
      <c r="B16" s="7">
        <f>'商品マスタ'!E16</f>
        <v/>
      </c>
      <c r="C16" s="8" t="inlineStr">
        <is>
          <t>カタログを見る【関東】</t>
        </is>
      </c>
      <c r="D16" s="8" t="inlineStr">
        <is>
          <t>https://dmp-net.meclib.jp/library/books/catalog2025/book/index.html#target/page_no=84</t>
        </is>
      </c>
      <c r="E16" s="8" t="inlineStr"/>
      <c r="F16" s="8" t="inlineStr"/>
    </row>
    <row r="17">
      <c r="A17" s="7">
        <f>'商品マスタ'!A17</f>
        <v/>
      </c>
      <c r="B17" s="7">
        <f>'商品マスタ'!E17</f>
        <v/>
      </c>
      <c r="C17" s="8" t="inlineStr">
        <is>
          <t>カタログを見る【九州】</t>
        </is>
      </c>
      <c r="D17" s="8" t="inlineStr">
        <is>
          <t>https://exis.icata.net/iportal/cv.do?c=1975150000&amp;pg=33&amp;v=EXS00001&amp;d=EXIS01</t>
        </is>
      </c>
      <c r="E17" s="8" t="inlineStr"/>
      <c r="F17" s="8" t="inlineStr"/>
    </row>
    <row r="18">
      <c r="A18" s="7">
        <f>'商品マスタ'!A18</f>
        <v/>
      </c>
      <c r="B18" s="7">
        <f>'商品マスタ'!E18</f>
        <v/>
      </c>
      <c r="C18" s="8" t="inlineStr">
        <is>
          <t>カタログを見る【関東】</t>
        </is>
      </c>
      <c r="D18" s="8" t="inlineStr">
        <is>
          <t>https://dmp-net.meclib.jp/library/books/catalog2025/book/index.html#target/page_no=75</t>
        </is>
      </c>
      <c r="E18" s="8" t="inlineStr">
        <is>
          <t>カタログを見る【九州】</t>
        </is>
      </c>
      <c r="F18" s="8" t="inlineStr">
        <is>
          <t>https://exis.icata.net/iportal/cv.do?c=1975150000&amp;pg=28&amp;v=EXS00001&amp;d=EXIS01</t>
        </is>
      </c>
    </row>
    <row r="19">
      <c r="A19" s="7">
        <f>'商品マスタ'!A19</f>
        <v/>
      </c>
      <c r="B19" s="7">
        <f>'商品マスタ'!E19</f>
        <v/>
      </c>
      <c r="C19" s="8" t="inlineStr">
        <is>
          <t>カタログを見る【関東】</t>
        </is>
      </c>
      <c r="D19" s="8" t="inlineStr">
        <is>
          <t>https://dmp-net.meclib.jp/library/books/catalog2025/book/index.html#target/page_no=76</t>
        </is>
      </c>
      <c r="E19" s="8" t="inlineStr">
        <is>
          <t>カタログを見る【九州】</t>
        </is>
      </c>
      <c r="F19" s="8" t="inlineStr">
        <is>
          <t>https://exis.icata.net/iportal/cv.do?c=1975150000&amp;pg=38&amp;v=EXS00001&amp;d=EXIS01</t>
        </is>
      </c>
    </row>
    <row r="20">
      <c r="A20" s="7">
        <f>'商品マスタ'!A20</f>
        <v/>
      </c>
      <c r="B20" s="7">
        <f>'商品マスタ'!E20</f>
        <v/>
      </c>
      <c r="C20" s="8" t="inlineStr">
        <is>
          <t>カタログを見る</t>
        </is>
      </c>
      <c r="D20" s="8" t="inlineStr">
        <is>
          <t>https://www.ic-ryowa.com/webcatalog/?pNo=118</t>
        </is>
      </c>
      <c r="E20" s="8" t="inlineStr"/>
      <c r="F20" s="8" t="inlineStr"/>
    </row>
    <row r="21">
      <c r="A21" s="7">
        <f>'商品マスタ'!A21</f>
        <v/>
      </c>
      <c r="B21" s="7">
        <f>'商品マスタ'!E21</f>
        <v/>
      </c>
      <c r="C21" s="8" t="inlineStr">
        <is>
          <t>カタログを見る</t>
        </is>
      </c>
      <c r="D21" s="8" t="inlineStr">
        <is>
          <t>https://www.ic-ryowa.com/webcatalog/?pNo=46</t>
        </is>
      </c>
      <c r="E21" s="8" t="inlineStr"/>
      <c r="F21" s="8" t="inlineStr"/>
    </row>
    <row r="22">
      <c r="A22" s="7">
        <f>'商品マスタ'!A22</f>
        <v/>
      </c>
      <c r="B22" s="7">
        <f>'商品マスタ'!E22</f>
        <v/>
      </c>
      <c r="C22" s="8" t="inlineStr">
        <is>
          <t>カタログを見る</t>
        </is>
      </c>
      <c r="D22" s="8" t="inlineStr">
        <is>
          <t>https://www.ic-ryowa.com/webcatalog/?pNo=52</t>
        </is>
      </c>
      <c r="E22" s="8" t="inlineStr"/>
      <c r="F22" s="8" t="inlineStr"/>
    </row>
    <row r="23">
      <c r="A23" s="7">
        <f>'商品マスタ'!A23</f>
        <v/>
      </c>
      <c r="B23" s="7">
        <f>'商品マスタ'!E23</f>
        <v/>
      </c>
      <c r="C23" s="8" t="inlineStr">
        <is>
          <t>カタログを見る</t>
        </is>
      </c>
      <c r="D23" s="8" t="inlineStr">
        <is>
          <t>https://www.catalabo.org/iportal/cv.do?c=86663320000&amp;pg=149&amp;v=CATALABO&amp;d=link</t>
        </is>
      </c>
      <c r="E23" s="8" t="inlineStr"/>
      <c r="F23" s="8" t="inlineStr"/>
    </row>
    <row r="24">
      <c r="A24" s="7">
        <f>'商品マスタ'!A24</f>
        <v/>
      </c>
      <c r="B24" s="7">
        <f>'商品マスタ'!E24</f>
        <v/>
      </c>
      <c r="C24" s="8" t="inlineStr">
        <is>
          <t>カタログを見る【関東】</t>
        </is>
      </c>
      <c r="D24" s="8" t="inlineStr">
        <is>
          <t>https://toyo-kogyo.icata.net/iportal/CatalogViewInterfaceStartUpAction.do?method=startUp&amp;mode=PAGE&amp;volumeID=TYK10002&amp;catalogId=24053650000&amp;pageGroupId=95&amp;designID=TOYOD01&amp;catalogCategoryId=</t>
        </is>
      </c>
      <c r="E24" s="8" t="inlineStr">
        <is>
          <t>カタログを見る【九州】</t>
        </is>
      </c>
      <c r="F24" s="8" t="inlineStr">
        <is>
          <t>https://toyo-kogyo.icata.net/iportal/CatalogViewInterfaceStartUpAction.do?method=startUp&amp;mode=PAGE&amp;volumeID=TYK10002&amp;catalogId=24053640000&amp;pageGroupId=95&amp;designID=TOYOD01&amp;catalogCategoryId=</t>
        </is>
      </c>
    </row>
    <row r="25">
      <c r="A25" s="7">
        <f>'商品マスタ'!A25</f>
        <v/>
      </c>
      <c r="B25" s="7">
        <f>'商品マスタ'!E25</f>
        <v/>
      </c>
      <c r="C25" s="8" t="inlineStr">
        <is>
          <t>カタログを見る【関東】</t>
        </is>
      </c>
      <c r="D25" s="8" t="inlineStr">
        <is>
          <t>https://toyo-kogyo.icata.net/iportal/CatalogViewInterfaceStartUpAction.do?method=startUp&amp;mode=PAGE&amp;volumeID=TYK10002&amp;catalogId=24053650000&amp;pageGroupId=148&amp;designID=TOYOD01&amp;catalogCategoryId=</t>
        </is>
      </c>
      <c r="E25" s="8" t="inlineStr">
        <is>
          <t>カタログを見る【九州】</t>
        </is>
      </c>
      <c r="F25" s="8" t="inlineStr">
        <is>
          <t>https://toyo-kogyo.icata.net/iportal/CatalogViewInterfaceStartUpAction.do?method=startUp&amp;mode=PAGE&amp;volumeID=TYK10002&amp;catalogId=24053640000&amp;pageGroupId=148&amp;designID=TOYOD01&amp;catalogCategoryId=</t>
        </is>
      </c>
    </row>
    <row r="26">
      <c r="A26" s="7">
        <f>'商品マスタ'!A26</f>
        <v/>
      </c>
      <c r="B26" s="7">
        <f>'商品マスタ'!E26</f>
        <v/>
      </c>
      <c r="C26" s="8" t="inlineStr">
        <is>
          <t>カタログを見る【関東】</t>
        </is>
      </c>
      <c r="D26" s="8" t="inlineStr">
        <is>
          <t>https://toyo-kogyo.icata.net/iportal/CatalogViewInterfaceStartUpAction.do?method=startUp&amp;mode=PAGE&amp;volumeID=TYK10002&amp;catalogId=24053650000&amp;pageGroupId=116&amp;designID=TOYOD01&amp;catalogCategoryId=</t>
        </is>
      </c>
      <c r="E26" s="8" t="inlineStr">
        <is>
          <t>カタログを見る【九州】</t>
        </is>
      </c>
      <c r="F26" s="8" t="inlineStr">
        <is>
          <t>https://toyo-kogyo.icata.net/iportal/CatalogViewInterfaceStartUpAction.do?method=startUp&amp;mode=PAGE&amp;volumeID=TYK10002&amp;catalogId=24053640000&amp;pageGroupId=116&amp;designID=TOYOD01&amp;catalogCategoryId=</t>
        </is>
      </c>
    </row>
    <row r="27">
      <c r="A27" s="7">
        <f>'商品マスタ'!A27</f>
        <v/>
      </c>
      <c r="B27" s="7">
        <f>'商品マスタ'!E27</f>
        <v/>
      </c>
      <c r="C27" s="8" t="inlineStr">
        <is>
          <t>おすすめカラーはこちら</t>
        </is>
      </c>
      <c r="D27" s="8" t="inlineStr">
        <is>
          <t>jolipate_color.html</t>
        </is>
      </c>
      <c r="E27" s="8" t="inlineStr"/>
      <c r="F27" s="8" t="inlineStr"/>
    </row>
    <row r="28">
      <c r="A28" s="7">
        <f>'商品マスタ'!A28</f>
        <v/>
      </c>
      <c r="B28" s="7">
        <f>'商品マスタ'!E28</f>
        <v/>
      </c>
      <c r="C28" s="8" t="inlineStr">
        <is>
          <t>Wikipediaを見る</t>
        </is>
      </c>
      <c r="D28" s="8" t="inlineStr">
        <is>
          <t>https://ja.wikipedia.org/wiki/%E3%82%A4%E3%83%AD%E3%83%8F%E3%83%A2%E3%83%9F%E3%82%B8#.E3.83.A4.E3.83.9E.E3.83.A2.E3.83.9F.E3.82.B8</t>
        </is>
      </c>
      <c r="E28" s="8" t="inlineStr"/>
      <c r="F28" s="8" t="inlineStr"/>
    </row>
    <row r="29">
      <c r="A29" s="7">
        <f>'商品マスタ'!A29</f>
        <v/>
      </c>
      <c r="B29" s="7">
        <f>'商品マスタ'!E29</f>
        <v/>
      </c>
      <c r="C29" s="8" t="inlineStr">
        <is>
          <t>Wikipediaを見る</t>
        </is>
      </c>
      <c r="D29" s="8" t="inlineStr">
        <is>
          <t>https://ja.wikipedia.org/wiki/%E3%82%A4%E3%83%AD%E3%83%8F%E3%83%A2%E3%83%9F%E3%82%B8</t>
        </is>
      </c>
      <c r="E29" s="8" t="inlineStr"/>
      <c r="F29" s="8" t="inlineStr"/>
    </row>
    <row r="30">
      <c r="A30" s="7">
        <f>'商品マスタ'!A30</f>
        <v/>
      </c>
      <c r="B30" s="7">
        <f>'商品マスタ'!E30</f>
        <v/>
      </c>
      <c r="C30" s="8" t="inlineStr">
        <is>
          <t>Wikipediaを見る</t>
        </is>
      </c>
      <c r="D30" s="8" t="inlineStr">
        <is>
          <t>https://ja.wikipedia.org/wiki/%E3%82%A8%E3%82%B4%E3%83%8E%E3%82%AD</t>
        </is>
      </c>
      <c r="E30" s="8" t="inlineStr"/>
      <c r="F30" s="8" t="inlineStr"/>
    </row>
    <row r="31">
      <c r="A31" s="7">
        <f>'商品マスタ'!A31</f>
        <v/>
      </c>
      <c r="B31" s="7">
        <f>'商品マスタ'!E31</f>
        <v/>
      </c>
      <c r="C31" s="8" t="inlineStr">
        <is>
          <t>Wikipediaを見る</t>
        </is>
      </c>
      <c r="D31" s="8" t="inlineStr">
        <is>
          <t>https://ja.wikipedia.org/wiki/%E3%82%A2%E3%82%AA%E3%83%80%E3%83%A2</t>
        </is>
      </c>
      <c r="E31" s="8" t="inlineStr"/>
      <c r="F31" s="8" t="inlineStr"/>
    </row>
    <row r="32">
      <c r="A32" s="7">
        <f>'商品マスタ'!A32</f>
        <v/>
      </c>
      <c r="B32" s="7">
        <f>'商品マスタ'!E32</f>
        <v/>
      </c>
      <c r="C32" s="8" t="inlineStr">
        <is>
          <t>Wikipediaを見る</t>
        </is>
      </c>
      <c r="D32" s="8" t="inlineStr">
        <is>
          <t>https://ja.wikipedia.org/wiki/%E3%82%B8%E3%83%A5%E3%83%BC%E3%83%B3%E3%83%99%E3%83%AA%E3%83%BC</t>
        </is>
      </c>
      <c r="E32" s="8" t="inlineStr"/>
      <c r="F32" s="8" t="inlineStr"/>
    </row>
    <row r="33">
      <c r="A33" s="7">
        <f>'商品マスタ'!A33</f>
        <v/>
      </c>
      <c r="B33" s="7">
        <f>'商品マスタ'!E33</f>
        <v/>
      </c>
      <c r="C33" s="8" t="inlineStr">
        <is>
          <t>カタログを見る</t>
        </is>
      </c>
      <c r="D33" s="8" t="inlineStr">
        <is>
          <t>https://appsp.st-grp.co.jp/iportal/CatalogViewInterfaceStartUpAction.do?method=startUp&amp;mode=PAGE&amp;volumeID=STAWC001&amp;catalogId=20765880000&amp;pageGroupId=34&amp;designID=WCAT001&amp;catalogCategoryId=</t>
        </is>
      </c>
      <c r="E33" s="8" t="inlineStr"/>
      <c r="F33" s="8" t="inlineStr"/>
    </row>
    <row r="34">
      <c r="A34" s="7">
        <f>'商品マスタ'!A34</f>
        <v/>
      </c>
      <c r="B34" s="7">
        <f>'商品マスタ'!E34</f>
        <v/>
      </c>
      <c r="C34" s="8" t="inlineStr">
        <is>
          <t>カタログを見る</t>
        </is>
      </c>
      <c r="D34" s="8" t="inlineStr">
        <is>
          <t>https://appsp.st-grp.co.jp/iportal/CatalogViewInterfaceStartUpAction.do?method=startUp&amp;mode=PAGE&amp;volumeID=STAWC001&amp;catalogId=20765880000&amp;pageGroupId=67&amp;designID=WCAT001&amp;catalogCategoryId=</t>
        </is>
      </c>
      <c r="E34" s="8" t="inlineStr"/>
      <c r="F34" s="8" t="inlineStr"/>
    </row>
    <row r="35">
      <c r="A35" s="7">
        <f>'商品マスタ'!A35</f>
        <v/>
      </c>
      <c r="B35" s="7">
        <f>'商品マスタ'!E35</f>
        <v/>
      </c>
      <c r="C35" s="8" t="inlineStr">
        <is>
          <t>カタログを見る</t>
        </is>
      </c>
      <c r="D35" s="8" t="inlineStr">
        <is>
          <t>https://webcatalog.lixil.co.jp/cgi-bin/openCatalogAuth.cgi?c=EV1200&amp;p=98</t>
        </is>
      </c>
      <c r="E35" s="8" t="inlineStr"/>
      <c r="F35" s="8" t="inlineStr"/>
    </row>
    <row r="36">
      <c r="A36" s="7">
        <f>'商品マスタ'!A36</f>
        <v/>
      </c>
      <c r="B36" s="7">
        <f>'商品マスタ'!E36</f>
        <v/>
      </c>
      <c r="C36" s="8" t="inlineStr">
        <is>
          <t>カタログを見る</t>
        </is>
      </c>
      <c r="D36" s="8" t="inlineStr">
        <is>
          <t>https://webcatalog.lixil.co.jp/cgi-bin/openCatalogAuth.cgi?c=EV1200&amp;p=90</t>
        </is>
      </c>
      <c r="E36" s="8" t="inlineStr"/>
      <c r="F36" s="8" t="inlineStr"/>
    </row>
    <row r="37">
      <c r="A37" s="7">
        <f>'商品マスタ'!A37</f>
        <v/>
      </c>
      <c r="B37" s="7">
        <f>'商品マスタ'!E37</f>
        <v/>
      </c>
      <c r="C37" s="8" t="inlineStr">
        <is>
          <t>カタログを見る</t>
        </is>
      </c>
      <c r="D37" s="8" t="inlineStr">
        <is>
          <t>https://webcatalog.lixil.co.jp/cgi-bin/openCatalogAuth.cgi?c=EV1200&amp;p=94</t>
        </is>
      </c>
      <c r="E37" s="8" t="inlineStr"/>
      <c r="F37" s="8" t="inlineStr"/>
    </row>
    <row r="38">
      <c r="A38" s="7">
        <f>'商品マスタ'!A38</f>
        <v/>
      </c>
      <c r="B38" s="7">
        <f>'商品マスタ'!E38</f>
        <v/>
      </c>
      <c r="C38" s="8" t="inlineStr">
        <is>
          <t>カタログを見る</t>
        </is>
      </c>
      <c r="D38" s="8" t="inlineStr">
        <is>
          <t>https://webcatalog.lixil.co.jp/cgi-bin/openCatalogAuth.cgi?c=EV1200&amp;p=125</t>
        </is>
      </c>
      <c r="E38" s="8" t="inlineStr"/>
      <c r="F38" s="8" t="inlineStr"/>
    </row>
    <row r="39">
      <c r="A39" s="7">
        <f>'商品マスタ'!A39</f>
        <v/>
      </c>
      <c r="B39" s="7">
        <f>'商品マスタ'!E39</f>
        <v/>
      </c>
      <c r="C39" s="8" t="inlineStr">
        <is>
          <t>カタログを見る</t>
        </is>
      </c>
      <c r="D39" s="8" t="inlineStr">
        <is>
          <t>https://esctlg.panasonic.biz/iportal/oc.do?c=LLCT1A003&amp;p=104&amp;v=PEWJ0001&amp;d=activeOut</t>
        </is>
      </c>
      <c r="E39" s="8" t="inlineStr"/>
      <c r="F39" s="8" t="inlineStr"/>
    </row>
    <row r="40">
      <c r="A40" s="7">
        <f>'商品マスタ'!A40</f>
        <v/>
      </c>
      <c r="B40" s="7">
        <f>'商品マスタ'!E40</f>
        <v/>
      </c>
      <c r="C40" s="8" t="inlineStr">
        <is>
          <t>カタログを見る</t>
        </is>
      </c>
      <c r="D40" s="8" t="inlineStr">
        <is>
          <t>https://esctlg.panasonic.biz/iportal/oc.do?c=LLCT1A003&amp;p=104&amp;v=PEWJ0001&amp;d=activeOut</t>
        </is>
      </c>
      <c r="E40" s="8" t="inlineStr"/>
      <c r="F40" s="8" t="inlineStr"/>
    </row>
    <row r="41">
      <c r="A41" s="7">
        <f>'商品マスタ'!A41</f>
        <v/>
      </c>
      <c r="B41" s="7">
        <f>'商品マスタ'!E41</f>
        <v/>
      </c>
      <c r="C41" s="8" t="inlineStr">
        <is>
          <t>カタログを見る</t>
        </is>
      </c>
      <c r="D41" s="8" t="inlineStr">
        <is>
          <t>https://esctlg.panasonic.biz/iportal/oc.do?c=LLCT1A003&amp;p=104&amp;v=PEWJ0001&amp;d=activeOut</t>
        </is>
      </c>
      <c r="E41" s="8" t="inlineStr"/>
      <c r="F41" s="8" t="inlineStr"/>
    </row>
    <row r="42">
      <c r="A42" s="7">
        <f>'商品マスタ'!A42</f>
        <v/>
      </c>
      <c r="B42" s="7">
        <f>'商品マスタ'!E42</f>
        <v/>
      </c>
      <c r="C42" s="8" t="inlineStr">
        <is>
          <t>カタログを見る</t>
        </is>
      </c>
      <c r="D42" s="8" t="inlineStr">
        <is>
          <t>https://esctlg.panasonic.biz/iportal/oc.do?c=LLCT1A003&amp;p=991&amp;v=PEWJ0001&amp;d=activeOut</t>
        </is>
      </c>
      <c r="E42" s="8" t="inlineStr"/>
      <c r="F42" s="8" t="inlineStr"/>
    </row>
    <row r="43">
      <c r="A43" s="7">
        <f>'商品マスタ'!A43</f>
        <v/>
      </c>
      <c r="B43" s="7">
        <f>'商品マスタ'!E43</f>
        <v/>
      </c>
      <c r="C43" s="8" t="inlineStr">
        <is>
          <t>カタログを見る</t>
        </is>
      </c>
      <c r="D43" s="8" t="inlineStr">
        <is>
          <t>https://esctlg.panasonic.biz/iportal/oc.do?c=LLCT1A003&amp;p=1004&amp;v=PEWJ0001&amp;d=activeOut</t>
        </is>
      </c>
      <c r="E43" s="8" t="inlineStr"/>
      <c r="F43" s="8" t="inlineStr"/>
    </row>
    <row r="44">
      <c r="A44" s="7">
        <f>'商品マスタ'!A44</f>
        <v/>
      </c>
      <c r="B44" s="7">
        <f>'商品マスタ'!E44</f>
        <v/>
      </c>
      <c r="C44" s="8" t="inlineStr">
        <is>
          <t>カタログを見る</t>
        </is>
      </c>
      <c r="D44" s="8" t="inlineStr">
        <is>
          <t>https://www.catalabo.org/iportal/CatalogViewInterfaceStartUpAction.do?method=startUp&amp;mode=PAGE&amp;volumeID=CATALABO&amp;catalogId=83858910000&amp;pageGroupId=30&amp;designID=link&amp;catalogCategoryId=&amp;keyword=</t>
        </is>
      </c>
      <c r="E44" s="8" t="inlineStr"/>
      <c r="F44" s="8" t="inlineStr"/>
    </row>
    <row r="45">
      <c r="A45" s="7">
        <f>'商品マスタ'!A45</f>
        <v/>
      </c>
      <c r="B45" s="7">
        <f>'商品マスタ'!E45</f>
        <v/>
      </c>
      <c r="C45" s="8" t="inlineStr">
        <is>
          <t>カタログを見る</t>
        </is>
      </c>
      <c r="D45" s="8" t="inlineStr">
        <is>
          <t>https://www.catalabo.org/iportal/CatalogViewInterfaceStartUpAction.do?method=startUp&amp;mode=PAGE&amp;volumeID=CATALABO&amp;catalogId=83858910000&amp;pageGroupId=59&amp;designID=link&amp;catalogCategoryId=&amp;keyword=</t>
        </is>
      </c>
      <c r="E45" s="8" t="inlineStr"/>
      <c r="F45" s="8" t="inlineStr"/>
    </row>
    <row r="46">
      <c r="A46" s="7">
        <f>'商品マスタ'!A46</f>
        <v/>
      </c>
      <c r="B46" s="7">
        <f>'商品マスタ'!E46</f>
        <v/>
      </c>
      <c r="C46" s="8" t="inlineStr">
        <is>
          <t>カタログを見る</t>
        </is>
      </c>
      <c r="D46" s="8" t="inlineStr">
        <is>
          <t>https://www.catalabo.org/iportal/CatalogViewInterfaceStartUpAction.do?method=startUp&amp;mode=PAGE&amp;volumeID=CATALABO&amp;catalogId=83858910000&amp;pageGroupId=37&amp;designID=link&amp;catalogCategoryId=&amp;keyword=</t>
        </is>
      </c>
      <c r="E46" s="8" t="inlineStr"/>
      <c r="F46" s="8" t="inlineStr"/>
    </row>
    <row r="47">
      <c r="A47" s="7">
        <f>'商品マスタ'!A47</f>
        <v/>
      </c>
      <c r="B47" s="7">
        <f>'商品マスタ'!E47</f>
        <v/>
      </c>
      <c r="C47" s="8" t="inlineStr">
        <is>
          <t>カタログを見る</t>
        </is>
      </c>
      <c r="D47" s="8" t="inlineStr">
        <is>
          <t>https://www.catalabo.org/iportal/CatalogViewInterfaceStartUpAction.do?method=startUp&amp;mode=PAGE&amp;volumeID=CATALABO&amp;catalogId=83858910000&amp;pageGroupId=37&amp;designID=link&amp;catalogCategoryId=&amp;keyword=&amp;pagePosition=R</t>
        </is>
      </c>
      <c r="E47" s="8" t="inlineStr"/>
      <c r="F47" s="8" t="inlineStr"/>
    </row>
    <row r="48">
      <c r="A48" s="7">
        <f>'商品マスタ'!A48</f>
        <v/>
      </c>
      <c r="B48" s="7">
        <f>'商品マスタ'!E48</f>
        <v/>
      </c>
      <c r="C48" s="8" t="inlineStr">
        <is>
          <t>カタログを見る</t>
        </is>
      </c>
      <c r="D48" s="8" t="inlineStr">
        <is>
          <t>https://www.catalabo.org/iportal/CatalogViewInterfaceStartUpAction.do?method=startUp&amp;mode=PAGE&amp;volumeID=CATALABO&amp;catalogId=83858910000&amp;pageGroupId=49&amp;designID=link&amp;catalogCategoryId=&amp;keyword=</t>
        </is>
      </c>
      <c r="E48" s="8" t="inlineStr"/>
      <c r="F48" s="8" t="inlineStr"/>
    </row>
    <row r="49">
      <c r="A49" s="7">
        <f>'商品マスタ'!A49</f>
        <v/>
      </c>
      <c r="B49" s="7">
        <f>'商品マスタ'!E49</f>
        <v/>
      </c>
      <c r="C49" s="8" t="inlineStr">
        <is>
          <t>カタログを見る</t>
        </is>
      </c>
      <c r="D49" s="8" t="inlineStr">
        <is>
          <t>https://www.catalabo.org/iportal/CatalogViewInterfaceStartUpAction.do?method=startUp&amp;mode=PAGE&amp;volumeID=CATALABO&amp;catalogId=83858910000&amp;pageGroupId=48&amp;designID=link&amp;catalogCategoryId=&amp;keyword=</t>
        </is>
      </c>
      <c r="E49" s="8" t="inlineStr"/>
      <c r="F49" s="8" t="inlineStr"/>
    </row>
    <row r="50">
      <c r="A50" s="7">
        <f>'商品マスタ'!A50</f>
        <v/>
      </c>
      <c r="B50" s="7">
        <f>'商品マスタ'!E50</f>
        <v/>
      </c>
      <c r="C50" s="8" t="inlineStr">
        <is>
          <t>カタログを見る</t>
        </is>
      </c>
      <c r="D50" s="8" t="inlineStr">
        <is>
          <t>https://www.catalabo.org/iportal/CatalogViewInterfaceStartUpAction.do?method=startUp&amp;mode=PAGE&amp;volumeID=CATALABO&amp;catalogId=83858910000&amp;pageGroupId=39&amp;designID=link&amp;catalogCategoryId=&amp;keyword=</t>
        </is>
      </c>
      <c r="E50" s="8" t="inlineStr"/>
      <c r="F50" s="8" t="inlineStr"/>
    </row>
    <row r="51">
      <c r="A51" s="7">
        <f>'商品マスタ'!A51</f>
        <v/>
      </c>
      <c r="B51" s="7">
        <f>'商品マスタ'!E51</f>
        <v/>
      </c>
      <c r="C51" s="8" t="inlineStr">
        <is>
          <t>カタログを見る</t>
        </is>
      </c>
      <c r="D51" s="8" t="inlineStr">
        <is>
          <t>https://www.catalabo.org/iportal/CatalogViewInterfaceStartUpAction.do?method=startUp&amp;mode=PAGE&amp;volumeID=CATALABO&amp;catalogId=83858910000&amp;pageGroupId=45&amp;designID=link&amp;catalogCategoryId=&amp;keyword=</t>
        </is>
      </c>
      <c r="E51" s="8" t="inlineStr"/>
      <c r="F51" s="8" t="inlineStr"/>
    </row>
    <row r="52">
      <c r="A52" s="7">
        <f>'商品マスタ'!A52</f>
        <v/>
      </c>
      <c r="B52" s="7">
        <f>'商品マスタ'!E52</f>
        <v/>
      </c>
      <c r="C52" s="8" t="inlineStr">
        <is>
          <t>カタログを見る</t>
        </is>
      </c>
      <c r="D52" s="8" t="inlineStr">
        <is>
          <t>https://www.catalabo.org/iportal/CatalogViewInterfaceStartUpAction.do?method=startUp&amp;mode=PAGE&amp;volumeID=CATALABO&amp;catalogId=83858910000&amp;pageGroupId=67&amp;designID=link&amp;catalogCategoryId=&amp;keyword=</t>
        </is>
      </c>
      <c r="E52" s="8" t="inlineStr"/>
      <c r="F52" s="8" t="inlineStr"/>
    </row>
    <row r="53">
      <c r="A53" s="7">
        <f>'商品マスタ'!A53</f>
        <v/>
      </c>
      <c r="B53" s="7">
        <f>'商品マスタ'!E53</f>
        <v/>
      </c>
      <c r="C53" s="8" t="inlineStr">
        <is>
          <t>カタログを見る</t>
        </is>
      </c>
      <c r="D53" s="8" t="inlineStr">
        <is>
          <t>https://www.catalabo.org/iportal/CatalogViewInterfaceStartUpAction.do?method=startUp&amp;mode=PAGE&amp;volumeID=CATALABO&amp;catalogId=83858910000&amp;pageGroupId=77&amp;designID=link&amp;catalogCategoryId=&amp;keyword=&amp;pagePosition=R</t>
        </is>
      </c>
      <c r="E53" s="8" t="inlineStr"/>
      <c r="F53" s="8" t="inlineStr"/>
    </row>
    <row r="54">
      <c r="A54" s="7">
        <f>'商品マスタ'!A54</f>
        <v/>
      </c>
      <c r="B54" s="7">
        <f>'商品マスタ'!E54</f>
        <v/>
      </c>
      <c r="C54" s="8" t="inlineStr">
        <is>
          <t>カタログを見る</t>
        </is>
      </c>
      <c r="D54" s="8" t="inlineStr">
        <is>
          <t>https://www.catalabo.org/iportal/CatalogViewInterfaceStartUpAction.do?method=startUp&amp;mode=PAGE&amp;volumeID=CATALABO&amp;catalogId=83858910000&amp;pageGroupId=35&amp;designID=link&amp;catalogCategoryId=&amp;keyword=</t>
        </is>
      </c>
      <c r="E54" s="8" t="inlineStr"/>
      <c r="F54" s="8" t="inlineStr"/>
    </row>
    <row r="55">
      <c r="A55" s="7">
        <f>'商品マスタ'!A55</f>
        <v/>
      </c>
      <c r="B55" s="7">
        <f>'商品マスタ'!E55</f>
        <v/>
      </c>
      <c r="C55" s="8" t="inlineStr">
        <is>
          <t>カタログを見る</t>
        </is>
      </c>
      <c r="D55" s="8" t="inlineStr">
        <is>
          <t>https://www.catalabo.org/iportal/CatalogViewInterfaceStartUpAction.do?method=startUp&amp;mode=PAGE&amp;volumeID=CATALABO&amp;catalogId=83858910000&amp;pageGroupId=53&amp;designID=link&amp;catalogCategoryId=&amp;keyword=</t>
        </is>
      </c>
      <c r="E55" s="8" t="inlineStr"/>
      <c r="F55" s="8" t="inlineStr"/>
    </row>
    <row r="56">
      <c r="A56" s="7">
        <f>'商品マスタ'!A56</f>
        <v/>
      </c>
      <c r="B56" s="7">
        <f>'商品マスタ'!E56</f>
        <v/>
      </c>
      <c r="C56" s="8" t="inlineStr">
        <is>
          <t>カタログを見る</t>
        </is>
      </c>
      <c r="D56" s="8" t="inlineStr">
        <is>
          <t>https://onlyoneclub.icata.net/iportal/cv.do?c=3317760000&amp;pg=179&amp;v=OOC00001&amp;d=OOC01</t>
        </is>
      </c>
      <c r="E56" s="8" t="inlineStr"/>
      <c r="F56" s="8" t="inlineStr"/>
    </row>
    <row r="57">
      <c r="A57" s="7">
        <f>'商品マスタ'!A57</f>
        <v/>
      </c>
      <c r="B57" s="7">
        <f>'商品マスタ'!E57</f>
        <v/>
      </c>
      <c r="C57" s="8" t="inlineStr">
        <is>
          <t>カタログを見る</t>
        </is>
      </c>
      <c r="D57" s="8" t="inlineStr">
        <is>
          <t>https://www.deasgarden.jp/webcatalog/2026/#page108</t>
        </is>
      </c>
      <c r="E57" s="8" t="inlineStr"/>
      <c r="F57" s="8" t="inlineStr"/>
    </row>
    <row r="58">
      <c r="A58" s="7">
        <f>'商品マスタ'!A58</f>
        <v/>
      </c>
      <c r="B58" s="7">
        <f>'商品マスタ'!E58</f>
        <v/>
      </c>
      <c r="C58" s="8" t="inlineStr">
        <is>
          <t>カタログを見る</t>
        </is>
      </c>
      <c r="D58" s="8" t="inlineStr">
        <is>
          <t>https://www.deasgarden.jp/webcatalog/2026/#page116</t>
        </is>
      </c>
      <c r="E58" s="8" t="inlineStr"/>
      <c r="F58" s="8" t="inlineStr"/>
    </row>
    <row r="59">
      <c r="A59" s="7">
        <f>'商品マスタ'!A59</f>
        <v/>
      </c>
      <c r="B59" s="7">
        <f>'商品マスタ'!E59</f>
        <v/>
      </c>
      <c r="C59" s="8" t="inlineStr">
        <is>
          <t>カタログを見る</t>
        </is>
      </c>
      <c r="D59" s="8" t="inlineStr">
        <is>
          <t>https://webcatalog.lixil.co.jp/cgi-bin/openCatalogAuth.cgi?c=TF1100&amp;p=326</t>
        </is>
      </c>
      <c r="E59" s="8" t="inlineStr"/>
      <c r="F59" s="8" t="inlineStr"/>
    </row>
    <row r="60">
      <c r="A60" s="7">
        <f>'商品マスタ'!A60</f>
        <v/>
      </c>
      <c r="B60" s="7">
        <f>'商品マスタ'!E60</f>
        <v/>
      </c>
      <c r="C60" s="8" t="inlineStr">
        <is>
          <t>カタログを見る</t>
        </is>
      </c>
      <c r="D60" s="8" t="inlineStr">
        <is>
          <t>https://onlyoneclub.icata.net/iportal/cv.do?c=3317760000&amp;pg=164&amp;v=OOC00001&amp;d=OOC01</t>
        </is>
      </c>
      <c r="E60" s="8" t="inlineStr"/>
      <c r="F60" s="8" t="inlineStr"/>
    </row>
    <row r="61">
      <c r="A61" s="7">
        <f>'商品マスタ'!A61</f>
        <v/>
      </c>
      <c r="B61" s="7">
        <f>'商品マスタ'!E61</f>
        <v/>
      </c>
      <c r="C61" s="8" t="inlineStr">
        <is>
          <t>カタログを見る【関東】</t>
        </is>
      </c>
      <c r="D61" s="8" t="inlineStr">
        <is>
          <t>https://dmp-net.meclib.jp/library/books/gather_vol15_meiku/book/index.html#target/page_no=122</t>
        </is>
      </c>
      <c r="E61" s="8" t="inlineStr">
        <is>
          <t>カタログを見る【九州】</t>
        </is>
      </c>
      <c r="F61" s="8" t="inlineStr">
        <is>
          <t>https://exis.icata.net/iportal/cv.do?c=1975150000&amp;pg=210&amp;v=EXS00001&amp;d=EXIS01</t>
        </is>
      </c>
    </row>
    <row r="62">
      <c r="A62" s="7">
        <f>'商品マスタ'!A62</f>
        <v/>
      </c>
      <c r="B62" s="7">
        <f>'商品マスタ'!E62</f>
        <v/>
      </c>
      <c r="C62" s="8" t="inlineStr">
        <is>
          <t>カタログを見る【関東】</t>
        </is>
      </c>
      <c r="D62" s="8" t="inlineStr">
        <is>
          <t>https://dmp-net.meclib.jp/library/books/gather_vol15_meiku/book/index.html#target/page_no=92</t>
        </is>
      </c>
      <c r="E62" s="8" t="inlineStr"/>
      <c r="F62" s="8" t="inlineStr"/>
    </row>
    <row r="63">
      <c r="A63" s="7">
        <f>'商品マスタ'!A63</f>
        <v/>
      </c>
      <c r="B63" s="7">
        <f>'商品マスタ'!E63</f>
        <v/>
      </c>
      <c r="C63" s="8" t="inlineStr">
        <is>
          <t>カタログを見る【関東】</t>
        </is>
      </c>
      <c r="D63" s="8" t="inlineStr">
        <is>
          <t>https://www.catalabo.org/iportal/cv.do?c=86728010000&amp;pg=38&amp;v=CATALABO&amp;d=link</t>
        </is>
      </c>
      <c r="E63" s="8" t="inlineStr">
        <is>
          <t>カタログを見る【九州】</t>
        </is>
      </c>
      <c r="F63" s="8" t="inlineStr">
        <is>
          <t>https://www.catalabo.org/iportal/cv.do?c=86727990000&amp;pg=189&amp;v=CATALABO&amp;d=link</t>
        </is>
      </c>
    </row>
    <row r="64">
      <c r="A64" s="7">
        <f>'商品マスタ'!A64</f>
        <v/>
      </c>
      <c r="B64" s="7">
        <f>'商品マスタ'!E64</f>
        <v/>
      </c>
      <c r="C64" s="8" t="inlineStr">
        <is>
          <t>カタログを見る【関東】</t>
        </is>
      </c>
      <c r="D64" s="8" t="inlineStr">
        <is>
          <t>https://www.catalabo.org/iportal/cv.do?c=86728010000&amp;pg=42&amp;v=CATALABO&amp;d=link</t>
        </is>
      </c>
      <c r="E64" s="8" t="inlineStr">
        <is>
          <t>カタログを見る【九州】</t>
        </is>
      </c>
      <c r="F64" s="8" t="inlineStr">
        <is>
          <t>https://www.catalabo.org/iportal/cv.do?c=86727990000&amp;pg=193&amp;v=CATALABO&amp;d=link</t>
        </is>
      </c>
    </row>
    <row r="65">
      <c r="A65" s="7">
        <f>'商品マスタ'!A65</f>
        <v/>
      </c>
      <c r="B65" s="7">
        <f>'商品マスタ'!E65</f>
        <v/>
      </c>
      <c r="C65" s="8" t="inlineStr">
        <is>
          <t>カタログを見る</t>
        </is>
      </c>
      <c r="D65" s="8" t="inlineStr">
        <is>
          <t>https://onlyoneclub.icata.net/iportal/cv.do?c=3317760000&amp;pg=44&amp;v=OOC00001&amp;d=OOC01</t>
        </is>
      </c>
      <c r="E65" s="8" t="inlineStr"/>
      <c r="F65" s="8" t="inlineStr"/>
    </row>
    <row r="66">
      <c r="A66" s="7">
        <f>'商品マスタ'!A66</f>
        <v/>
      </c>
      <c r="B66" s="7">
        <f>'商品マスタ'!E66</f>
        <v/>
      </c>
      <c r="C66" s="8" t="inlineStr">
        <is>
          <t>カタログを見る</t>
        </is>
      </c>
      <c r="D66" s="8" t="inlineStr">
        <is>
          <t>https://design.gfield.co.jp/products/really-turf/</t>
        </is>
      </c>
      <c r="E66" s="8" t="inlineStr"/>
      <c r="F66" s="8" t="inlineStr"/>
    </row>
    <row r="67">
      <c r="A67" s="7">
        <f>'商品マスタ'!A67</f>
        <v/>
      </c>
      <c r="B67" s="7">
        <f>'商品マスタ'!E67</f>
        <v/>
      </c>
      <c r="C67" s="8" t="inlineStr">
        <is>
          <t>カタログを見る</t>
        </is>
      </c>
      <c r="D67" s="8" t="inlineStr">
        <is>
          <t>https://yoshimitu.co.jp/star_grass.html</t>
        </is>
      </c>
      <c r="E67" s="8" t="inlineStr"/>
      <c r="F67" s="8" t="inlineStr"/>
    </row>
    <row r="68">
      <c r="A68" s="7">
        <f>'商品マスタ'!A68</f>
        <v/>
      </c>
      <c r="B68" s="7">
        <f>'商品マスタ'!E68</f>
        <v/>
      </c>
      <c r="C68" s="8" t="inlineStr">
        <is>
          <t>カタログを見る【関東】</t>
        </is>
      </c>
      <c r="D68" s="8" t="inlineStr">
        <is>
          <t>https://toyo-kogyo.icata.net/iportal/cv.do?c=24053650000&amp;pg=173&amp;v=TYK10002&amp;d=TOYOD01</t>
        </is>
      </c>
      <c r="E68" s="8" t="inlineStr">
        <is>
          <t>カタログを見る【九州】</t>
        </is>
      </c>
      <c r="F68" s="8" t="inlineStr">
        <is>
          <t>https://toyo-kogyo.icata.net/iportal/cv.do?c=24053640000&amp;pg=173&amp;v=TYK10002&amp;d=TOYOD01</t>
        </is>
      </c>
    </row>
    <row r="69">
      <c r="A69" s="7">
        <f>'商品マスタ'!A69</f>
        <v/>
      </c>
      <c r="B69" s="7">
        <f>'商品マスタ'!E69</f>
        <v/>
      </c>
      <c r="C69" s="8" t="inlineStr">
        <is>
          <t>カタログを見る【関東】</t>
        </is>
      </c>
      <c r="D69" s="8" t="inlineStr">
        <is>
          <t>https://dmp-net.meclib.jp/library/books/catalog2025/book/index.html#target/page_no=220</t>
        </is>
      </c>
      <c r="E69" s="8" t="inlineStr"/>
      <c r="F69" s="8" t="inlineStr"/>
    </row>
    <row r="70">
      <c r="A70" s="7">
        <f>'商品マスタ'!A70</f>
        <v/>
      </c>
      <c r="B70" s="7">
        <f>'商品マスタ'!E70</f>
        <v/>
      </c>
      <c r="C70" s="8" t="inlineStr">
        <is>
          <t>カタログを見る【九州】</t>
        </is>
      </c>
      <c r="D70" s="8" t="inlineStr">
        <is>
          <t>https://exis.icata.net/iportal/cv.do?c=1975150000&amp;pg=80&amp;v=EXS00001&amp;d=EXIS01</t>
        </is>
      </c>
      <c r="E70" s="8" t="inlineStr"/>
      <c r="F70" s="8" t="inlineStr"/>
    </row>
    <row r="71">
      <c r="A71" s="7">
        <f>'商品マスタ'!A71</f>
        <v/>
      </c>
      <c r="B71" s="7">
        <f>'商品マスタ'!E71</f>
        <v/>
      </c>
      <c r="C71" s="8" t="inlineStr">
        <is>
          <t>カタログを見る</t>
        </is>
      </c>
      <c r="D71" s="8" t="inlineStr">
        <is>
          <t>https://onlyoneclub.icata.net/iportal/cv.do?c=3332560000&amp;pg=25&amp;v=OOC00001&amp;d=OOC01</t>
        </is>
      </c>
      <c r="E71" s="8" t="inlineStr"/>
      <c r="F71" s="8" t="inlineStr"/>
    </row>
    <row r="72">
      <c r="A72" s="7">
        <f>'商品マスタ'!A72</f>
        <v/>
      </c>
      <c r="B72" s="7">
        <f>'商品マスタ'!E72</f>
        <v/>
      </c>
      <c r="C72" s="8" t="inlineStr">
        <is>
          <t>カタログを見る</t>
        </is>
      </c>
      <c r="D72" s="8" t="inlineStr">
        <is>
          <t>https://onlyoneclub.icata.net/iportal/cv.do?c=3332560000&amp;pg=33&amp;v=OOC00001&amp;d=OOC01</t>
        </is>
      </c>
      <c r="E72" s="8" t="inlineStr"/>
      <c r="F72" s="8" t="inlineStr"/>
    </row>
    <row r="73">
      <c r="A73" s="7">
        <f>'商品マスタ'!A73</f>
        <v/>
      </c>
      <c r="B73" s="7">
        <f>'商品マスタ'!E73</f>
        <v/>
      </c>
      <c r="C73" s="8" t="inlineStr">
        <is>
          <t>カタログを見る</t>
        </is>
      </c>
      <c r="D73" s="8" t="inlineStr">
        <is>
          <t>https://onlyoneclub.icata.net/iportal/cv.do?c=3332560000&amp;pg=56&amp;v=OOC00001&amp;d=OOC01</t>
        </is>
      </c>
      <c r="E73" s="8" t="inlineStr"/>
      <c r="F73" s="8" t="inlineStr"/>
    </row>
    <row r="74">
      <c r="A74" s="7">
        <f>'商品マスタ'!A74</f>
        <v/>
      </c>
      <c r="B74" s="7">
        <f>'商品マスタ'!E74</f>
        <v/>
      </c>
      <c r="C74" s="8" t="inlineStr">
        <is>
          <t>カタログを見る</t>
        </is>
      </c>
      <c r="D74" s="8" t="inlineStr">
        <is>
          <t>https://onlyoneclub.icata.net/iportal/cv.do?c=3332560000&amp;pg=75&amp;v=OOC00001&amp;d=OOC01</t>
        </is>
      </c>
      <c r="E74" s="8" t="inlineStr"/>
      <c r="F74" s="8" t="inlineStr"/>
    </row>
    <row r="75">
      <c r="A75" s="7">
        <f>'商品マスタ'!A75</f>
        <v/>
      </c>
      <c r="B75" s="7">
        <f>'商品マスタ'!E75</f>
        <v/>
      </c>
      <c r="C75" s="8" t="inlineStr">
        <is>
          <t>カタログを見る</t>
        </is>
      </c>
      <c r="D75" s="8" t="inlineStr">
        <is>
          <t>https://onlyoneclub.icata.net/iportal/cv.do?c=3332560000&amp;pg=33&amp;v=OOC00001&amp;d=OOC01</t>
        </is>
      </c>
      <c r="E75" s="8" t="inlineStr"/>
      <c r="F75" s="8" t="inlineStr"/>
    </row>
    <row r="76">
      <c r="A76" s="7">
        <f>'商品マスタ'!A76</f>
        <v/>
      </c>
      <c r="B76" s="7">
        <f>'商品マスタ'!E76</f>
        <v/>
      </c>
      <c r="C76" s="8" t="inlineStr">
        <is>
          <t>カタログを見る</t>
        </is>
      </c>
      <c r="D76" s="8" t="inlineStr">
        <is>
          <t>https://onlyoneclub.icata.net/iportal/cv.do?c=3332560000&amp;pg=71&amp;v=OOC00001&amp;d=OOC01</t>
        </is>
      </c>
      <c r="E76" s="8" t="inlineStr"/>
      <c r="F76" s="8" t="inlineStr"/>
    </row>
    <row r="77">
      <c r="A77" s="7">
        <f>'商品マスタ'!A77</f>
        <v/>
      </c>
      <c r="B77" s="7">
        <f>'商品マスタ'!E77</f>
        <v/>
      </c>
      <c r="C77" s="8" t="inlineStr">
        <is>
          <t>カタログを見る</t>
        </is>
      </c>
      <c r="D77" s="8" t="inlineStr">
        <is>
          <t>https://www.ground-f.com/image_for_wdp/g-select/g-stok.pdf</t>
        </is>
      </c>
      <c r="E77" s="8" t="inlineStr"/>
      <c r="F77" s="8" t="inlineStr"/>
    </row>
    <row r="78">
      <c r="A78" s="7">
        <f>'商品マスタ'!A78</f>
        <v/>
      </c>
      <c r="B78" s="7">
        <f>'商品マスタ'!E78</f>
        <v/>
      </c>
      <c r="C78" s="8" t="inlineStr">
        <is>
          <t>カタログを見る</t>
        </is>
      </c>
      <c r="D78" s="8" t="inlineStr">
        <is>
          <t>https://www.ground-f.com/image_for_wdp/g-select/g-stok.pdf</t>
        </is>
      </c>
      <c r="E78" s="8" t="inlineStr"/>
      <c r="F78" s="8" t="inlineStr"/>
    </row>
    <row r="79">
      <c r="A79" s="7">
        <f>'商品マスタ'!A79</f>
        <v/>
      </c>
      <c r="B79" s="7">
        <f>'商品マスタ'!E79</f>
        <v/>
      </c>
      <c r="C79" s="8" t="inlineStr">
        <is>
          <t>カタログを見る</t>
        </is>
      </c>
      <c r="D79" s="8" t="inlineStr">
        <is>
          <t>https://www.ground-f.com/image_for_wdp/g-select/g-stok.pdf</t>
        </is>
      </c>
      <c r="E79" s="8" t="inlineStr"/>
      <c r="F79" s="8" t="inlineStr"/>
    </row>
    <row r="80" ht="20" customHeight="1">
      <c r="A80" s="9" t="inlineStr">
        <is>
          <t>▼ ここから新規追加 ▼</t>
        </is>
      </c>
    </row>
    <row r="81">
      <c r="A81" s="7">
        <f>'商品マスタ'!A81</f>
        <v/>
      </c>
      <c r="B81" s="7">
        <f>'商品マスタ'!E81</f>
        <v/>
      </c>
      <c r="C81" s="8" t="n"/>
      <c r="D81" s="8" t="n"/>
      <c r="E81" s="8" t="n"/>
      <c r="F81" s="8" t="n"/>
    </row>
    <row r="82">
      <c r="A82" s="7">
        <f>'商品マスタ'!A82</f>
        <v/>
      </c>
      <c r="B82" s="7">
        <f>'商品マスタ'!E82</f>
        <v/>
      </c>
      <c r="C82" s="8" t="n"/>
      <c r="D82" s="8" t="n"/>
      <c r="E82" s="8" t="n"/>
      <c r="F82" s="8" t="n"/>
    </row>
    <row r="83">
      <c r="A83" s="7">
        <f>'商品マスタ'!A83</f>
        <v/>
      </c>
      <c r="B83" s="7">
        <f>'商品マスタ'!E83</f>
        <v/>
      </c>
      <c r="C83" s="8" t="n"/>
      <c r="D83" s="8" t="n"/>
      <c r="E83" s="8" t="n"/>
      <c r="F83" s="8" t="n"/>
    </row>
    <row r="84">
      <c r="A84" s="7">
        <f>'商品マスタ'!A84</f>
        <v/>
      </c>
      <c r="B84" s="7">
        <f>'商品マスタ'!E84</f>
        <v/>
      </c>
      <c r="C84" s="8" t="n"/>
      <c r="D84" s="8" t="n"/>
      <c r="E84" s="8" t="n"/>
      <c r="F84" s="8" t="n"/>
    </row>
    <row r="85">
      <c r="A85" s="7">
        <f>'商品マスタ'!A85</f>
        <v/>
      </c>
      <c r="B85" s="7">
        <f>'商品マスタ'!E85</f>
        <v/>
      </c>
      <c r="C85" s="8" t="n"/>
      <c r="D85" s="8" t="n"/>
      <c r="E85" s="8" t="n"/>
      <c r="F85" s="8" t="n"/>
    </row>
    <row r="86">
      <c r="A86" s="7">
        <f>'商品マスタ'!A86</f>
        <v/>
      </c>
      <c r="B86" s="7">
        <f>'商品マスタ'!E86</f>
        <v/>
      </c>
      <c r="C86" s="8" t="n"/>
      <c r="D86" s="8" t="n"/>
      <c r="E86" s="8" t="n"/>
      <c r="F86" s="8" t="n"/>
    </row>
    <row r="87">
      <c r="A87" s="7">
        <f>'商品マスタ'!A87</f>
        <v/>
      </c>
      <c r="B87" s="7">
        <f>'商品マスタ'!E87</f>
        <v/>
      </c>
      <c r="C87" s="8" t="n"/>
      <c r="D87" s="8" t="n"/>
      <c r="E87" s="8" t="n"/>
      <c r="F87" s="8" t="n"/>
    </row>
    <row r="88">
      <c r="A88" s="7">
        <f>'商品マスタ'!A88</f>
        <v/>
      </c>
      <c r="B88" s="7">
        <f>'商品マスタ'!E88</f>
        <v/>
      </c>
      <c r="C88" s="8" t="n"/>
      <c r="D88" s="8" t="n"/>
      <c r="E88" s="8" t="n"/>
      <c r="F88" s="8" t="n"/>
    </row>
    <row r="89">
      <c r="A89" s="7">
        <f>'商品マスタ'!A89</f>
        <v/>
      </c>
      <c r="B89" s="7">
        <f>'商品マスタ'!E89</f>
        <v/>
      </c>
      <c r="C89" s="8" t="n"/>
      <c r="D89" s="8" t="n"/>
      <c r="E89" s="8" t="n"/>
      <c r="F89" s="8" t="n"/>
    </row>
    <row r="90">
      <c r="A90" s="7">
        <f>'商品マスタ'!A90</f>
        <v/>
      </c>
      <c r="B90" s="7">
        <f>'商品マスタ'!E90</f>
        <v/>
      </c>
      <c r="C90" s="8" t="n"/>
      <c r="D90" s="8" t="n"/>
      <c r="E90" s="8" t="n"/>
      <c r="F90" s="8" t="n"/>
    </row>
    <row r="91">
      <c r="A91" s="7">
        <f>'商品マスタ'!A91</f>
        <v/>
      </c>
      <c r="B91" s="7">
        <f>'商品マスタ'!E91</f>
        <v/>
      </c>
      <c r="C91" s="8" t="n"/>
      <c r="D91" s="8" t="n"/>
      <c r="E91" s="8" t="n"/>
      <c r="F91" s="8" t="n"/>
    </row>
    <row r="92">
      <c r="A92" s="7">
        <f>'商品マスタ'!A92</f>
        <v/>
      </c>
      <c r="B92" s="7">
        <f>'商品マスタ'!E92</f>
        <v/>
      </c>
      <c r="C92" s="8" t="n"/>
      <c r="D92" s="8" t="n"/>
      <c r="E92" s="8" t="n"/>
      <c r="F92" s="8" t="n"/>
    </row>
    <row r="93">
      <c r="A93" s="7">
        <f>'商品マスタ'!A93</f>
        <v/>
      </c>
      <c r="B93" s="7">
        <f>'商品マスタ'!E93</f>
        <v/>
      </c>
      <c r="C93" s="8" t="n"/>
      <c r="D93" s="8" t="n"/>
      <c r="E93" s="8" t="n"/>
      <c r="F93" s="8" t="n"/>
    </row>
    <row r="94">
      <c r="A94" s="7">
        <f>'商品マスタ'!A94</f>
        <v/>
      </c>
      <c r="B94" s="7">
        <f>'商品マスタ'!E94</f>
        <v/>
      </c>
      <c r="C94" s="8" t="n"/>
      <c r="D94" s="8" t="n"/>
      <c r="E94" s="8" t="n"/>
      <c r="F94" s="8" t="n"/>
    </row>
    <row r="95">
      <c r="A95" s="7">
        <f>'商品マスタ'!A95</f>
        <v/>
      </c>
      <c r="B95" s="7">
        <f>'商品マスタ'!E95</f>
        <v/>
      </c>
      <c r="C95" s="8" t="n"/>
      <c r="D95" s="8" t="n"/>
      <c r="E95" s="8" t="n"/>
      <c r="F95" s="8" t="n"/>
    </row>
    <row r="96">
      <c r="A96" s="7">
        <f>'商品マスタ'!A96</f>
        <v/>
      </c>
      <c r="B96" s="7">
        <f>'商品マスタ'!E96</f>
        <v/>
      </c>
      <c r="C96" s="8" t="n"/>
      <c r="D96" s="8" t="n"/>
      <c r="E96" s="8" t="n"/>
      <c r="F96" s="8" t="n"/>
    </row>
    <row r="97">
      <c r="A97" s="7">
        <f>'商品マスタ'!A97</f>
        <v/>
      </c>
      <c r="B97" s="7">
        <f>'商品マスタ'!E97</f>
        <v/>
      </c>
      <c r="C97" s="8" t="n"/>
      <c r="D97" s="8" t="n"/>
      <c r="E97" s="8" t="n"/>
      <c r="F97" s="8" t="n"/>
    </row>
    <row r="98">
      <c r="A98" s="7">
        <f>'商品マスタ'!A98</f>
        <v/>
      </c>
      <c r="B98" s="7">
        <f>'商品マスタ'!E98</f>
        <v/>
      </c>
      <c r="C98" s="8" t="n"/>
      <c r="D98" s="8" t="n"/>
      <c r="E98" s="8" t="n"/>
      <c r="F98" s="8" t="n"/>
    </row>
    <row r="99">
      <c r="A99" s="7">
        <f>'商品マスタ'!A99</f>
        <v/>
      </c>
      <c r="B99" s="7">
        <f>'商品マスタ'!E99</f>
        <v/>
      </c>
      <c r="C99" s="8" t="n"/>
      <c r="D99" s="8" t="n"/>
      <c r="E99" s="8" t="n"/>
      <c r="F99" s="8" t="n"/>
    </row>
    <row r="100">
      <c r="A100" s="7">
        <f>'商品マスタ'!A100</f>
        <v/>
      </c>
      <c r="B100" s="7">
        <f>'商品マスタ'!E100</f>
        <v/>
      </c>
      <c r="C100" s="8" t="n"/>
      <c r="D100" s="8" t="n"/>
      <c r="E100" s="8" t="n"/>
      <c r="F100" s="8" t="n"/>
    </row>
    <row r="101">
      <c r="A101" s="7">
        <f>'商品マスタ'!A101</f>
        <v/>
      </c>
      <c r="B101" s="7">
        <f>'商品マスタ'!E101</f>
        <v/>
      </c>
      <c r="C101" s="8" t="n"/>
      <c r="D101" s="8" t="n"/>
      <c r="E101" s="8" t="n"/>
      <c r="F101" s="8" t="n"/>
    </row>
    <row r="102">
      <c r="A102" s="7">
        <f>'商品マスタ'!A102</f>
        <v/>
      </c>
      <c r="B102" s="7">
        <f>'商品マスタ'!E102</f>
        <v/>
      </c>
      <c r="C102" s="8" t="n"/>
      <c r="D102" s="8" t="n"/>
      <c r="E102" s="8" t="n"/>
      <c r="F102" s="8" t="n"/>
    </row>
    <row r="103">
      <c r="A103" s="7">
        <f>'商品マスタ'!A103</f>
        <v/>
      </c>
      <c r="B103" s="7">
        <f>'商品マスタ'!E103</f>
        <v/>
      </c>
      <c r="C103" s="8" t="n"/>
      <c r="D103" s="8" t="n"/>
      <c r="E103" s="8" t="n"/>
      <c r="F103" s="8" t="n"/>
    </row>
    <row r="104">
      <c r="A104" s="7">
        <f>'商品マスタ'!A104</f>
        <v/>
      </c>
      <c r="B104" s="7">
        <f>'商品マスタ'!E104</f>
        <v/>
      </c>
      <c r="C104" s="8" t="n"/>
      <c r="D104" s="8" t="n"/>
      <c r="E104" s="8" t="n"/>
      <c r="F104" s="8" t="n"/>
    </row>
    <row r="105">
      <c r="A105" s="7">
        <f>'商品マスタ'!A105</f>
        <v/>
      </c>
      <c r="B105" s="7">
        <f>'商品マスタ'!E105</f>
        <v/>
      </c>
      <c r="C105" s="8" t="n"/>
      <c r="D105" s="8" t="n"/>
      <c r="E105" s="8" t="n"/>
      <c r="F105" s="8" t="n"/>
    </row>
    <row r="106">
      <c r="A106" s="7">
        <f>'商品マスタ'!A106</f>
        <v/>
      </c>
      <c r="B106" s="7">
        <f>'商品マスタ'!E106</f>
        <v/>
      </c>
      <c r="C106" s="8" t="n"/>
      <c r="D106" s="8" t="n"/>
      <c r="E106" s="8" t="n"/>
      <c r="F106" s="8" t="n"/>
    </row>
    <row r="107">
      <c r="A107" s="7">
        <f>'商品マスタ'!A107</f>
        <v/>
      </c>
      <c r="B107" s="7">
        <f>'商品マスタ'!E107</f>
        <v/>
      </c>
      <c r="C107" s="8" t="n"/>
      <c r="D107" s="8" t="n"/>
      <c r="E107" s="8" t="n"/>
      <c r="F107" s="8" t="n"/>
    </row>
    <row r="108">
      <c r="A108" s="7">
        <f>'商品マスタ'!A108</f>
        <v/>
      </c>
      <c r="B108" s="7">
        <f>'商品マスタ'!E108</f>
        <v/>
      </c>
      <c r="C108" s="8" t="n"/>
      <c r="D108" s="8" t="n"/>
      <c r="E108" s="8" t="n"/>
      <c r="F108" s="8" t="n"/>
    </row>
    <row r="109">
      <c r="A109" s="7">
        <f>'商品マスタ'!A109</f>
        <v/>
      </c>
      <c r="B109" s="7">
        <f>'商品マスタ'!E109</f>
        <v/>
      </c>
      <c r="C109" s="8" t="n"/>
      <c r="D109" s="8" t="n"/>
      <c r="E109" s="8" t="n"/>
      <c r="F109" s="8" t="n"/>
    </row>
    <row r="110">
      <c r="A110" s="7">
        <f>'商品マスタ'!A110</f>
        <v/>
      </c>
      <c r="B110" s="7">
        <f>'商品マスタ'!E110</f>
        <v/>
      </c>
      <c r="C110" s="8" t="n"/>
      <c r="D110" s="8" t="n"/>
      <c r="E110" s="8" t="n"/>
      <c r="F110" s="8" t="n"/>
    </row>
    <row r="112">
      <c r="A112" s="218" t="inlineStr">
        <is>
          <t>※リンクが1件のみの商品は「リンク1」だけ入力してください。リンクが無い商品（Flowaなど）は空欄のままでOKです。3件以上のリンクが必要になった場合はClaudeに列の追加を依頼してください。</t>
        </is>
      </c>
    </row>
  </sheetData>
  <mergeCells count="1">
    <mergeCell ref="A80:F80"/>
  </mergeCells>
  <dataValidations count="2">
    <dataValidation sqref="C2:C110" showDropDown="0" showInputMessage="0" showErrorMessage="0" allowBlank="1" type="list">
      <formula1>"カタログを見る【関東】,カタログを見る【九州】,カタログを見る,おすすめカラーはこちら,Wikipediaを見る"</formula1>
    </dataValidation>
    <dataValidation sqref="E2:E110" showDropDown="0" showInputMessage="0" showErrorMessage="0" allowBlank="1" type="list">
      <formula1>"カタログを見る【関東】,カタログを見る【九州】,カタログを見る,おすすめカラーはこちら,Wikipediaを見る"</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掲載カテゴリー</t>
        </is>
      </c>
      <c r="B1" t="inlineStr">
        <is>
          <t>コード</t>
        </is>
      </c>
    </row>
    <row r="2">
      <c r="A2" t="inlineStr">
        <is>
          <t>床材</t>
        </is>
      </c>
      <c r="B2" t="inlineStr">
        <is>
          <t>floor</t>
        </is>
      </c>
    </row>
    <row r="3">
      <c r="A3" t="inlineStr">
        <is>
          <t>壁材</t>
        </is>
      </c>
      <c r="B3" t="inlineStr">
        <is>
          <t>wall</t>
        </is>
      </c>
    </row>
    <row r="4">
      <c r="A4" t="inlineStr">
        <is>
          <t>植栽</t>
        </is>
      </c>
      <c r="B4" t="inlineStr">
        <is>
          <t>plants</t>
        </is>
      </c>
    </row>
    <row r="5">
      <c r="A5" t="inlineStr">
        <is>
          <t>デッキ</t>
        </is>
      </c>
      <c r="B5" t="inlineStr">
        <is>
          <t>deck</t>
        </is>
      </c>
    </row>
    <row r="6">
      <c r="A6" t="inlineStr">
        <is>
          <t>照明</t>
        </is>
      </c>
      <c r="B6" t="inlineStr">
        <is>
          <t>light</t>
        </is>
      </c>
    </row>
    <row r="7">
      <c r="A7" t="inlineStr">
        <is>
          <t>表札</t>
        </is>
      </c>
      <c r="B7" t="inlineStr">
        <is>
          <t>sign</t>
        </is>
      </c>
    </row>
    <row r="8">
      <c r="A8" t="inlineStr">
        <is>
          <t>ポスト</t>
        </is>
      </c>
      <c r="B8" t="inlineStr">
        <is>
          <t>post</t>
        </is>
      </c>
    </row>
    <row r="9">
      <c r="A9" t="inlineStr">
        <is>
          <t>機能門柱</t>
        </is>
      </c>
      <c r="B9" t="inlineStr">
        <is>
          <t>gatepost</t>
        </is>
      </c>
    </row>
    <row r="10">
      <c r="A10" t="inlineStr">
        <is>
          <t>人工芝・砂利</t>
        </is>
      </c>
      <c r="B10" t="inlineStr">
        <is>
          <t>grass</t>
        </is>
      </c>
    </row>
    <row r="11">
      <c r="A11" t="inlineStr">
        <is>
          <t>立水栓</t>
        </is>
      </c>
      <c r="B11" t="inlineStr">
        <is>
          <t>water</t>
        </is>
      </c>
    </row>
    <row r="12">
      <c r="A12" t="inlineStr">
        <is>
          <t>木製エクステリア（Gストック）</t>
        </is>
      </c>
      <c r="B12" t="inlineStr">
        <is>
          <t>gstok</t>
        </is>
      </c>
    </row>
    <row r="13">
      <c r="A13" t="inlineStr">
        <is>
          <t>デザインフェンス</t>
        </is>
      </c>
      <c r="B13" t="inlineStr">
        <is>
          <t>fence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2026-09-03T07:21:48Z</dcterms:created>
  <dcterms:modified xmlns:dcterms="http://purl.org/dc/terms/" xmlns:xsi="http://www.w3.org/2001/XMLSchema-instance" xsi:type="dcterms:W3CDTF">2026-09-03T07:21:48Z</dcterms:modified>
</cp:coreProperties>
</file>